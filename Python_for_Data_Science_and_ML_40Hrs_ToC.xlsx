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gram Overview" sheetId="1" state="visible" r:id="rId1"/>
    <sheet xmlns:r="http://schemas.openxmlformats.org/officeDocument/2006/relationships" name="Course ToC" sheetId="2" state="visible" r:id="rId2"/>
    <sheet xmlns:r="http://schemas.openxmlformats.org/officeDocument/2006/relationships" name="Duration Summary" sheetId="3" state="visible" r:id="rId3"/>
    <sheet xmlns:r="http://schemas.openxmlformats.org/officeDocument/2006/relationships" name="Training Roadmap" sheetId="4" state="visible" r:id="rId4"/>
    <sheet xmlns:r="http://schemas.openxmlformats.org/officeDocument/2006/relationships" name="Required Software &amp; Setup" sheetId="5" state="visible" r:id="rId5"/>
    <sheet xmlns:r="http://schemas.openxmlformats.org/officeDocument/2006/relationships" name="Datasets &amp; Resources" sheetId="6" state="visible" r:id="rId6"/>
    <sheet xmlns:r="http://schemas.openxmlformats.org/officeDocument/2006/relationships" name="Capstone Project Details" sheetId="7" state="visible" r:id="rId7"/>
    <sheet xmlns:r="http://schemas.openxmlformats.org/officeDocument/2006/relationships" name="Home Assignments" sheetId="8" state="visible" r:id="rId8"/>
  </sheets>
  <definedNames>
    <definedName name="_xlnm._FilterDatabase" localSheetId="1" hidden="1">'Course ToC'!$A$4:$L$82</definedName>
    <definedName name="_xlnm._FilterDatabase" localSheetId="3" hidden="1">'Training Roadmap'!$A$4:$F$14</definedName>
    <definedName name="_xlnm._FilterDatabase" localSheetId="4" hidden="1">'Required Software &amp; Setup'!$A$4:$G$26</definedName>
    <definedName name="_xlnm._FilterDatabase" localSheetId="7" hidden="1">'Home Assignments'!$A$4:$J$8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F4E79"/>
      <sz val="10"/>
    </font>
    <font>
      <name val="Arial"/>
      <charset val="1"/>
      <family val="0"/>
      <b val="1"/>
      <color rgb="FF1F3864"/>
      <sz val="10"/>
    </font>
    <font>
      <name val="Arial"/>
      <charset val="1"/>
      <family val="0"/>
      <b val="1"/>
      <color rgb="FF000000"/>
      <sz val="10"/>
    </font>
    <font>
      <name val="Arial"/>
      <charset val="1"/>
      <family val="0"/>
      <color rgb="FF000000"/>
      <sz val="10"/>
    </font>
    <font>
      <name val="Arial"/>
      <charset val="1"/>
      <family val="0"/>
      <b val="1"/>
      <color rgb="FF1F4E79"/>
      <sz val="9"/>
    </font>
    <font>
      <name val="Arial"/>
      <charset val="1"/>
      <family val="0"/>
      <color rgb="FF000000"/>
      <sz val="9"/>
    </font>
    <font>
      <name val="Arial"/>
      <charset val="1"/>
      <family val="0"/>
      <b val="1"/>
      <color rgb="FF7F6000"/>
      <sz val="10"/>
    </font>
    <font>
      <name val="Arial"/>
      <charset val="1"/>
      <family val="0"/>
      <i val="1"/>
      <color rgb="FF595959"/>
      <sz val="9"/>
    </font>
    <font>
      <name val="Arial"/>
      <charset val="1"/>
      <family val="0"/>
      <i val="1"/>
      <color rgb="FF1F4E79"/>
      <sz val="9"/>
    </font>
    <font>
      <name val="Arial"/>
      <charset val="1"/>
      <family val="0"/>
      <b val="1"/>
      <color rgb="FFFFFFFF"/>
      <sz val="11"/>
    </font>
    <font>
      <name val="Arial"/>
      <charset val="1"/>
      <family val="0"/>
      <sz val="9"/>
    </font>
    <font>
      <name val="Arial"/>
      <charset val="1"/>
      <family val="0"/>
      <b val="1"/>
      <color rgb="FFFFFFFF"/>
      <sz val="10"/>
    </font>
  </fonts>
  <fills count="11">
    <fill>
      <patternFill/>
    </fill>
    <fill>
      <patternFill patternType="gray125"/>
    </fill>
    <fill>
      <patternFill patternType="solid">
        <fgColor rgb="FF1F4E79"/>
        <bgColor rgb="FF1F3864"/>
      </patternFill>
    </fill>
    <fill>
      <patternFill patternType="solid">
        <fgColor rgb="FFDCE6F1"/>
        <bgColor rgb="FFDDEBF7"/>
      </patternFill>
    </fill>
    <fill>
      <patternFill patternType="solid">
        <fgColor rgb="FFB7DEE8"/>
        <bgColor rgb="FFDCE6F1"/>
      </patternFill>
    </fill>
    <fill>
      <patternFill patternType="solid">
        <fgColor rgb="FFFFFFFF"/>
        <bgColor rgb="FFEAF3F7"/>
      </patternFill>
    </fill>
    <fill>
      <patternFill patternType="solid">
        <fgColor rgb="FFEAF3F7"/>
        <bgColor rgb="FFEAF1F8"/>
      </patternFill>
    </fill>
    <fill>
      <patternFill patternType="solid">
        <fgColor rgb="FFFFE699"/>
        <bgColor rgb="FFFFCC99"/>
      </patternFill>
    </fill>
    <fill>
      <patternFill patternType="solid">
        <fgColor rgb="FFDDEBF7"/>
        <bgColor rgb="FFDCE6F1"/>
      </patternFill>
    </fill>
    <fill>
      <patternFill patternType="solid">
        <fgColor rgb="FF2E75B6"/>
        <bgColor rgb="FF0066CC"/>
      </patternFill>
    </fill>
    <fill>
      <patternFill patternType="solid">
        <fgColor rgb="FFEAF1F8"/>
        <bgColor rgb="FFEAF3F7"/>
      </patternFill>
    </fill>
  </fills>
  <borders count="6">
    <border>
      <left/>
      <right/>
      <top/>
      <bottom/>
      <diagonal/>
    </border>
    <border>
      <left style="thin">
        <color rgb="FFB0B7BC"/>
      </left>
      <right style="thin">
        <color rgb="FFB0B7BC"/>
      </right>
      <top style="thin">
        <color rgb="FFB0B7BC"/>
      </top>
      <bottom style="thin">
        <color rgb="FFB0B7BC"/>
      </bottom>
      <diagonal/>
    </border>
    <border>
      <left style="thin">
        <color rgb="FFB0B7BC"/>
      </left>
      <right/>
      <top style="thin">
        <color rgb="FFB0B7BC"/>
      </top>
      <bottom style="thin">
        <color rgb="FFB0B7BC"/>
      </bottom>
      <diagonal/>
    </border>
    <border>
      <left style="thin">
        <color rgb="FFAFBFCC"/>
      </left>
      <right style="thin">
        <color rgb="FFAFBFCC"/>
      </right>
      <top style="thin">
        <color rgb="FFAFBFCC"/>
      </top>
      <bottom style="thin">
        <color rgb="FFAFBFCC"/>
      </bottom>
      <diagonal/>
    </border>
    <border>
      <left/>
      <right/>
      <top style="thin">
        <color rgb="FFB0B7BC"/>
      </top>
      <bottom/>
      <diagonal/>
    </border>
    <border>
      <left/>
      <right/>
      <top style="thin">
        <color rgb="FFB0B7BC"/>
      </top>
      <bottom style="thin">
        <color rgb="FFB0B7B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5" fillId="3" borderId="1" applyAlignment="1" pivotButton="0" quotePrefix="0" xfId="0">
      <alignment horizontal="general"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10" fillId="5" borderId="1" applyAlignment="1" pivotButton="0" quotePrefix="0" xfId="0">
      <alignment horizontal="center" vertical="top" wrapText="1"/>
    </xf>
    <xf numFmtId="0" fontId="9" fillId="6" borderId="1" applyAlignment="1" pivotButton="0" quotePrefix="0" xfId="0">
      <alignment horizontal="center"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0" fontId="10" fillId="6" borderId="1" applyAlignment="1" pivotButton="0" quotePrefix="0" xfId="0">
      <alignment horizontal="center" vertical="top" wrapText="1"/>
    </xf>
    <xf numFmtId="0" fontId="11" fillId="7" borderId="1" applyAlignment="1" pivotButton="0" quotePrefix="0" xfId="0">
      <alignment horizontal="center" vertical="center"/>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8" fillId="5" borderId="1" applyAlignment="1" pivotButton="0" quotePrefix="0" xfId="0">
      <alignment horizontal="center" vertical="center" wrapText="1"/>
    </xf>
    <xf numFmtId="164" fontId="8"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8" fillId="6" borderId="1" applyAlignment="1" pivotButton="0" quotePrefix="0" xfId="0">
      <alignment horizontal="center" vertical="center" wrapText="1"/>
    </xf>
    <xf numFmtId="164" fontId="8" fillId="6" borderId="1" applyAlignment="1" pivotButton="0" quotePrefix="0" xfId="0">
      <alignment horizontal="center" vertical="center" wrapText="1"/>
    </xf>
    <xf numFmtId="164" fontId="11" fillId="7" borderId="1" applyAlignment="1" pivotButton="0" quotePrefix="0" xfId="0">
      <alignment horizontal="center" vertical="center"/>
    </xf>
    <xf numFmtId="0" fontId="12" fillId="0" borderId="0" applyAlignment="1" pivotButton="0" quotePrefix="0" xfId="0">
      <alignment horizontal="general" vertical="bottom"/>
    </xf>
    <xf numFmtId="0" fontId="13" fillId="0" borderId="0" applyAlignment="1" pivotButton="0" quotePrefix="0" xfId="0">
      <alignment horizontal="left" vertical="center" wrapText="1"/>
    </xf>
    <xf numFmtId="0" fontId="14" fillId="2" borderId="0" applyAlignment="1" pivotButton="0" quotePrefix="0" xfId="0">
      <alignment horizontal="left" vertical="center"/>
    </xf>
    <xf numFmtId="0" fontId="12" fillId="0" borderId="0" applyAlignment="1" pivotButton="0" quotePrefix="0" xfId="0">
      <alignment horizontal="general" vertical="center" wrapText="1"/>
    </xf>
    <xf numFmtId="0" fontId="9" fillId="3" borderId="2" applyAlignment="1" pivotButton="0" quotePrefix="0" xfId="0">
      <alignment horizontal="left" vertical="top" wrapText="1"/>
    </xf>
    <xf numFmtId="0" fontId="10" fillId="5" borderId="2" applyAlignment="1" pivotButton="0" quotePrefix="0" xfId="0">
      <alignment horizontal="left" vertical="top" wrapText="1"/>
    </xf>
    <xf numFmtId="0" fontId="15" fillId="5" borderId="1" applyAlignment="1" pivotButton="0" quotePrefix="0" xfId="0">
      <alignment horizontal="center" vertical="center" wrapText="1"/>
    </xf>
    <xf numFmtId="0" fontId="15" fillId="5" borderId="2" applyAlignment="1" pivotButton="0" quotePrefix="0" xfId="0">
      <alignment horizontal="left" vertical="center" wrapText="1"/>
    </xf>
    <xf numFmtId="0" fontId="15" fillId="6" borderId="1" applyAlignment="1" pivotButton="0" quotePrefix="0" xfId="0">
      <alignment horizontal="center" vertical="center" wrapText="1"/>
    </xf>
    <xf numFmtId="0" fontId="15" fillId="6" borderId="2" applyAlignment="1" pivotButton="0" quotePrefix="0" xfId="0">
      <alignment horizontal="left" vertical="center" wrapText="1"/>
    </xf>
    <xf numFmtId="0" fontId="5" fillId="8" borderId="0" applyAlignment="1" pivotButton="0" quotePrefix="0" xfId="0">
      <alignment horizontal="center" vertical="center"/>
    </xf>
    <xf numFmtId="0" fontId="16" fillId="9" borderId="3" applyAlignment="1" pivotButton="0" quotePrefix="0" xfId="0">
      <alignment horizontal="center" vertical="center" wrapText="1"/>
    </xf>
    <xf numFmtId="0" fontId="9" fillId="5" borderId="3" applyAlignment="1" pivotButton="0" quotePrefix="0" xfId="0">
      <alignment horizontal="center" vertical="top" wrapText="1"/>
    </xf>
    <xf numFmtId="0" fontId="9" fillId="5" borderId="3" applyAlignment="1" pivotButton="0" quotePrefix="0" xfId="0">
      <alignment horizontal="left" vertical="top" wrapText="1"/>
    </xf>
    <xf numFmtId="0" fontId="10" fillId="5" borderId="3" applyAlignment="1" pivotButton="0" quotePrefix="0" xfId="0">
      <alignment horizontal="center" vertical="top" wrapText="1"/>
    </xf>
    <xf numFmtId="0" fontId="10" fillId="5" borderId="3" applyAlignment="1" pivotButton="0" quotePrefix="0" xfId="0">
      <alignment horizontal="left" vertical="top" wrapText="1"/>
    </xf>
    <xf numFmtId="0" fontId="9" fillId="10" borderId="3" applyAlignment="1" pivotButton="0" quotePrefix="0" xfId="0">
      <alignment horizontal="center" vertical="top" wrapText="1"/>
    </xf>
    <xf numFmtId="0" fontId="9" fillId="10" borderId="3" applyAlignment="1" pivotButton="0" quotePrefix="0" xfId="0">
      <alignment horizontal="left" vertical="top" wrapText="1"/>
    </xf>
    <xf numFmtId="0" fontId="10" fillId="10" borderId="3" applyAlignment="1" pivotButton="0" quotePrefix="0" xfId="0">
      <alignment horizontal="center" vertical="top" wrapText="1"/>
    </xf>
    <xf numFmtId="0" fontId="10" fillId="10" borderId="3" applyAlignment="1" pivotButton="0" quotePrefix="0" xfId="0">
      <alignment horizontal="left" vertical="top" wrapText="1"/>
    </xf>
    <xf numFmtId="0" fontId="11" fillId="7" borderId="3"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5" fillId="3" borderId="1" applyAlignment="1" pivotButton="0" quotePrefix="0" xfId="0">
      <alignment horizontal="general"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10" fillId="5" borderId="1" applyAlignment="1" pivotButton="0" quotePrefix="0" xfId="0">
      <alignment horizontal="center" vertical="top" wrapText="1"/>
    </xf>
    <xf numFmtId="0" fontId="9" fillId="6" borderId="1" applyAlignment="1" pivotButton="0" quotePrefix="0" xfId="0">
      <alignment horizontal="center"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0" fontId="10" fillId="6" borderId="1" applyAlignment="1" pivotButton="0" quotePrefix="0" xfId="0">
      <alignment horizontal="center" vertical="top" wrapText="1"/>
    </xf>
    <xf numFmtId="0" fontId="11" fillId="7" borderId="1" applyAlignment="1" pivotButton="0" quotePrefix="0" xfId="0">
      <alignment horizontal="center" vertical="center"/>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8" fillId="5" borderId="1" applyAlignment="1" pivotButton="0" quotePrefix="0" xfId="0">
      <alignment horizontal="center" vertical="center" wrapText="1"/>
    </xf>
    <xf numFmtId="164" fontId="8"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8" fillId="6" borderId="1" applyAlignment="1" pivotButton="0" quotePrefix="0" xfId="0">
      <alignment horizontal="center" vertical="center" wrapText="1"/>
    </xf>
    <xf numFmtId="164" fontId="8" fillId="6" borderId="1" applyAlignment="1" pivotButton="0" quotePrefix="0" xfId="0">
      <alignment horizontal="center" vertical="center" wrapText="1"/>
    </xf>
    <xf numFmtId="164" fontId="11" fillId="7" borderId="1" applyAlignment="1" pivotButton="0" quotePrefix="0" xfId="0">
      <alignment horizontal="center" vertical="center"/>
    </xf>
    <xf numFmtId="0" fontId="12" fillId="0" borderId="0" applyAlignment="1" pivotButton="0" quotePrefix="0" xfId="0">
      <alignment horizontal="general" vertical="bottom"/>
    </xf>
    <xf numFmtId="0" fontId="13" fillId="0" borderId="0" applyAlignment="1" pivotButton="0" quotePrefix="0" xfId="0">
      <alignment horizontal="left" vertical="center" wrapText="1"/>
    </xf>
    <xf numFmtId="0" fontId="14" fillId="2" borderId="0" applyAlignment="1" pivotButton="0" quotePrefix="0" xfId="0">
      <alignment horizontal="left" vertical="center"/>
    </xf>
    <xf numFmtId="0" fontId="12" fillId="0" borderId="0" applyAlignment="1" pivotButton="0" quotePrefix="0" xfId="0">
      <alignment horizontal="general" vertical="center" wrapText="1"/>
    </xf>
    <xf numFmtId="0" fontId="9" fillId="3" borderId="2" applyAlignment="1" pivotButton="0" quotePrefix="0" xfId="0">
      <alignment horizontal="left" vertical="top" wrapText="1"/>
    </xf>
    <xf numFmtId="0" fontId="0" fillId="0" borderId="5" pivotButton="0" quotePrefix="0" xfId="0"/>
    <xf numFmtId="0" fontId="10" fillId="5" borderId="2" applyAlignment="1" pivotButton="0" quotePrefix="0" xfId="0">
      <alignment horizontal="left" vertical="top" wrapText="1"/>
    </xf>
    <xf numFmtId="0" fontId="15" fillId="5" borderId="1" applyAlignment="1" pivotButton="0" quotePrefix="0" xfId="0">
      <alignment horizontal="center" vertical="center" wrapText="1"/>
    </xf>
    <xf numFmtId="0" fontId="15" fillId="5" borderId="2" applyAlignment="1" pivotButton="0" quotePrefix="0" xfId="0">
      <alignment horizontal="left" vertical="center" wrapText="1"/>
    </xf>
    <xf numFmtId="0" fontId="15" fillId="6" borderId="1" applyAlignment="1" pivotButton="0" quotePrefix="0" xfId="0">
      <alignment horizontal="center" vertical="center" wrapText="1"/>
    </xf>
    <xf numFmtId="0" fontId="15" fillId="6" borderId="2" applyAlignment="1" pivotButton="0" quotePrefix="0" xfId="0">
      <alignment horizontal="left" vertical="center" wrapText="1"/>
    </xf>
    <xf numFmtId="0" fontId="5" fillId="8" borderId="0" applyAlignment="1" pivotButton="0" quotePrefix="0" xfId="0">
      <alignment horizontal="center" vertical="center"/>
    </xf>
    <xf numFmtId="0" fontId="16" fillId="9" borderId="3" applyAlignment="1" pivotButton="0" quotePrefix="0" xfId="0">
      <alignment horizontal="center" vertical="center" wrapText="1"/>
    </xf>
    <xf numFmtId="0" fontId="9" fillId="5" borderId="3" applyAlignment="1" pivotButton="0" quotePrefix="0" xfId="0">
      <alignment horizontal="center" vertical="top" wrapText="1"/>
    </xf>
    <xf numFmtId="0" fontId="9" fillId="5" borderId="3" applyAlignment="1" pivotButton="0" quotePrefix="0" xfId="0">
      <alignment horizontal="left" vertical="top" wrapText="1"/>
    </xf>
    <xf numFmtId="0" fontId="10" fillId="5" borderId="3" applyAlignment="1" pivotButton="0" quotePrefix="0" xfId="0">
      <alignment horizontal="center" vertical="top" wrapText="1"/>
    </xf>
    <xf numFmtId="0" fontId="10" fillId="5" borderId="3" applyAlignment="1" pivotButton="0" quotePrefix="0" xfId="0">
      <alignment horizontal="left" vertical="top" wrapText="1"/>
    </xf>
    <xf numFmtId="0" fontId="9" fillId="10" borderId="3" applyAlignment="1" pivotButton="0" quotePrefix="0" xfId="0">
      <alignment horizontal="center" vertical="top" wrapText="1"/>
    </xf>
    <xf numFmtId="0" fontId="9" fillId="10" borderId="3" applyAlignment="1" pivotButton="0" quotePrefix="0" xfId="0">
      <alignment horizontal="left" vertical="top" wrapText="1"/>
    </xf>
    <xf numFmtId="0" fontId="10" fillId="10" borderId="3" applyAlignment="1" pivotButton="0" quotePrefix="0" xfId="0">
      <alignment horizontal="center" vertical="top" wrapText="1"/>
    </xf>
    <xf numFmtId="0" fontId="10" fillId="10" borderId="3" applyAlignment="1" pivotButton="0" quotePrefix="0" xfId="0">
      <alignment horizontal="left" vertical="top" wrapText="1"/>
    </xf>
    <xf numFmtId="0" fontId="11" fillId="7" borderId="3"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B7DEE8"/>
          <bgColor rgb="FF000000"/>
        </patternFill>
      </fill>
    </dxf>
    <dxf>
      <fill>
        <patternFill patternType="solid">
          <fgColor rgb="FFEAF3F7"/>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1F4E79"/>
          <bgColor rgb="FF000000"/>
        </patternFill>
      </fill>
    </dxf>
    <dxf>
      <fill>
        <patternFill patternType="solid">
          <fgColor rgb="FF000000"/>
          <bgColor rgb="FF000000"/>
        </patternFill>
      </fill>
    </dxf>
    <dxf>
      <fill>
        <patternFill patternType="solid">
          <fgColor rgb="FF2E75B6"/>
          <bgColor rgb="FF000000"/>
        </patternFill>
      </fill>
    </dxf>
    <dxf>
      <fill>
        <patternFill patternType="solid">
          <fgColor rgb="FFEAF1F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AFBFCC"/>
      <rgbColor rgb="FF808080"/>
      <rgbColor rgb="FF9999FF"/>
      <rgbColor rgb="FF993366"/>
      <rgbColor rgb="FFEAF1F8"/>
      <rgbColor rgb="FFDDEBF7"/>
      <rgbColor rgb="FF660066"/>
      <rgbColor rgb="FFFF8080"/>
      <rgbColor rgb="FF0066CC"/>
      <rgbColor rgb="FFB7DEE8"/>
      <rgbColor rgb="FF000080"/>
      <rgbColor rgb="FFFF00FF"/>
      <rgbColor rgb="FFFFFF00"/>
      <rgbColor rgb="FF00FFFF"/>
      <rgbColor rgb="FF800080"/>
      <rgbColor rgb="FF800000"/>
      <rgbColor rgb="FF008080"/>
      <rgbColor rgb="FF0000FF"/>
      <rgbColor rgb="FF00CCFF"/>
      <rgbColor rgb="FFEAF3F7"/>
      <rgbColor rgb="FFDCE6F1"/>
      <rgbColor rgb="FFFFE699"/>
      <rgbColor rgb="FFB0B7BC"/>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7" min="1" max="1"/>
    <col width="100" customWidth="1" style="47" min="2" max="2"/>
  </cols>
  <sheetData>
    <row r="1" ht="27.75" customHeight="1" s="48">
      <c r="A1" s="49" t="inlineStr">
        <is>
          <t>PYTHON FOR DATA SCIENCE &amp; MACHINE LEARNING</t>
        </is>
      </c>
    </row>
    <row r="2" ht="19.5" customHeight="1" s="48">
      <c r="A2" s="50" t="inlineStr">
        <is>
          <t>Corporate Training Program  |  40 Hours (2,400 Minutes)  |  10 Days x 4 Hours</t>
        </is>
      </c>
    </row>
    <row r="4" ht="19.5" customHeight="1" s="48">
      <c r="A4" s="51" t="inlineStr">
        <is>
          <t>Parameter</t>
        </is>
      </c>
      <c r="B4" s="51" t="inlineStr">
        <is>
          <t>Details</t>
        </is>
      </c>
    </row>
    <row r="5" ht="15" customHeight="1" s="48">
      <c r="A5" s="52" t="inlineStr">
        <is>
          <t>Program Name</t>
        </is>
      </c>
      <c r="B5" s="53" t="inlineStr">
        <is>
          <t>Python for Data Science &amp; Machine Learning</t>
        </is>
      </c>
    </row>
    <row r="6" ht="15" customHeight="1" s="48">
      <c r="A6" s="52" t="inlineStr">
        <is>
          <t>Total Duration</t>
        </is>
      </c>
      <c r="B6" s="53" t="inlineStr">
        <is>
          <t>40 Hours (2,400 minutes)</t>
        </is>
      </c>
    </row>
    <row r="7" ht="15" customHeight="1" s="48">
      <c r="A7" s="52" t="inlineStr">
        <is>
          <t>Recommended Schedule</t>
        </is>
      </c>
      <c r="B7" s="53" t="inlineStr">
        <is>
          <t>10 sessions x 4 hours (2 hours instruction + 2 hours guided hands-on per session)</t>
        </is>
      </c>
    </row>
    <row r="8" ht="15" customHeight="1" s="48">
      <c r="A8" s="52" t="inlineStr">
        <is>
          <t>Delivery Mode</t>
        </is>
      </c>
      <c r="B8" s="53" t="inlineStr">
        <is>
          <t>Instructor-led (online or classroom) with live coding and per-participant lab work</t>
        </is>
      </c>
    </row>
    <row r="9" ht="15" customHeight="1" s="48">
      <c r="A9" s="52" t="inlineStr">
        <is>
          <t>Target Audience</t>
        </is>
      </c>
      <c r="B9" s="53" t="inlineStr">
        <is>
          <t>Software Developers, SDETs, QA Engineers, Technology Leads, Architects, Application Support Engineers</t>
        </is>
      </c>
    </row>
    <row r="10" ht="23.25" customHeight="1" s="48">
      <c r="A10" s="52" t="inlineStr">
        <is>
          <t>Audience Experience</t>
        </is>
      </c>
      <c r="B10" s="53" t="inlineStr">
        <is>
          <t>Mostly beginners in Python and Machine Learning; some participants have basic Python; a few have automation-scripting exposure</t>
        </is>
      </c>
    </row>
    <row r="11" ht="23.25" customHeight="1" s="48">
      <c r="A11" s="52" t="inlineStr">
        <is>
          <t>Prerequisites</t>
        </is>
      </c>
      <c r="B11" s="53" t="inlineStr">
        <is>
          <t>Programming logic in any language; basic mathematics; laptop with admin rights for installations; no prior Python or ML experience assumed</t>
        </is>
      </c>
    </row>
    <row r="12" ht="15" customHeight="1" s="48">
      <c r="A12" s="52" t="inlineStr">
        <is>
          <t>Theory : Practical Ratio</t>
        </is>
      </c>
      <c r="B12" s="53" t="inlineStr">
        <is>
          <t>Approximately 40% concept, 60% hands-on implementation</t>
        </is>
      </c>
    </row>
    <row r="13" ht="15" customHeight="1" s="48">
      <c r="A13" s="52" t="inlineStr">
        <is>
          <t>Total Modules</t>
        </is>
      </c>
      <c r="B13" s="53" t="inlineStr">
        <is>
          <t>10</t>
        </is>
      </c>
    </row>
    <row r="14" ht="15" customHeight="1" s="48">
      <c r="A14" s="52" t="inlineStr">
        <is>
          <t>Total Topics</t>
        </is>
      </c>
      <c r="B14" s="53">
        <f>COUNTA('Course ToC'!A4:A200)-1</f>
        <v/>
      </c>
    </row>
    <row r="15" ht="15" customHeight="1" s="48">
      <c r="A15" s="52" t="inlineStr">
        <is>
          <t>Batch Size Recommended</t>
        </is>
      </c>
      <c r="B15" s="53" t="inlineStr">
        <is>
          <t>15-20 participants (maximum 25 for effective lab support)</t>
        </is>
      </c>
    </row>
    <row r="16" ht="15" customHeight="1" s="48">
      <c r="A16" s="52" t="n"/>
      <c r="B16" s="53" t="n"/>
    </row>
    <row r="17" ht="15" customHeight="1" s="48">
      <c r="A17" s="54" t="inlineStr">
        <is>
          <t>LEARNING OBJECTIVES</t>
        </is>
      </c>
      <c r="B17" s="54" t="n"/>
    </row>
    <row r="18" ht="15" customHeight="1" s="48">
      <c r="A18" s="52" t="inlineStr">
        <is>
          <t>Objective 1</t>
        </is>
      </c>
      <c r="B18" s="53" t="inlineStr">
        <is>
          <t>Understand and write the Python required for data science work, from core syntax to OOP and engineering practices</t>
        </is>
      </c>
    </row>
    <row r="19" ht="15" customHeight="1" s="48">
      <c r="A19" s="52" t="inlineStr">
        <is>
          <t>Objective 2</t>
        </is>
      </c>
      <c r="B19" s="53" t="inlineStr">
        <is>
          <t>Perform numerical computing and data analysis using NumPy and Pandas at production scale</t>
        </is>
      </c>
    </row>
    <row r="20" ht="15" customHeight="1" s="48">
      <c r="A20" s="52" t="inlineStr">
        <is>
          <t>Objective 3</t>
        </is>
      </c>
      <c r="B20" s="53" t="inlineStr">
        <is>
          <t>Clean, wrangle and engineer features from messy, real-world enterprise data</t>
        </is>
      </c>
    </row>
    <row r="21" ht="15" customHeight="1" s="48">
      <c r="A21" s="52" t="inlineStr">
        <is>
          <t>Objective 4</t>
        </is>
      </c>
      <c r="B21" s="53" t="inlineStr">
        <is>
          <t>Create analytical and presentation-grade visualisations and run a disciplined EDA</t>
        </is>
      </c>
    </row>
    <row r="22" ht="15" customHeight="1" s="48">
      <c r="A22" s="52" t="inlineStr">
        <is>
          <t>Objective 5</t>
        </is>
      </c>
      <c r="B22" s="53" t="inlineStr">
        <is>
          <t>Explain machine learning concepts, learning paradigms, evaluation metrics and the bias-variance trade-off</t>
        </is>
      </c>
    </row>
    <row r="23" ht="15" customHeight="1" s="48">
      <c r="A23" s="52" t="inlineStr">
        <is>
          <t>Objective 6</t>
        </is>
      </c>
      <c r="B23" s="53" t="inlineStr">
        <is>
          <t>Build, tune and evaluate regression, classification, ensemble and clustering models</t>
        </is>
      </c>
    </row>
    <row r="24" ht="15" customHeight="1" s="48">
      <c r="A24" s="52" t="inlineStr">
        <is>
          <t>Objective 7</t>
        </is>
      </c>
      <c r="B24" s="53" t="inlineStr">
        <is>
          <t>Package models into leakage-free pipelines and expose them through a scoring service</t>
        </is>
      </c>
    </row>
    <row r="25" ht="15" customHeight="1" s="48">
      <c r="A25" s="52" t="inlineStr">
        <is>
          <t>Objective 8</t>
        </is>
      </c>
      <c r="B25" s="53" t="inlineStr">
        <is>
          <t>Deliver one complete, enterprise-style end-to-end machine learning project</t>
        </is>
      </c>
    </row>
    <row r="26" ht="15" customHeight="1" s="48">
      <c r="A26" s="52" t="inlineStr">
        <is>
          <t>Objective 9</t>
        </is>
      </c>
      <c r="B26" s="53" t="inlineStr">
        <is>
          <t>Apply industry best practices covering reproducibility, testing, explainability and responsible AI</t>
        </is>
      </c>
    </row>
    <row r="27" ht="15" customHeight="1" s="48">
      <c r="A27" s="52" t="inlineStr">
        <is>
          <t>Objective 10</t>
        </is>
      </c>
      <c r="B27" s="53" t="inlineStr">
        <is>
          <t>Be confident and equipped to continue advanced learning independently</t>
        </is>
      </c>
    </row>
    <row r="28" ht="15" customHeight="1" s="48">
      <c r="A28" s="52" t="n"/>
      <c r="B28" s="53" t="n"/>
    </row>
    <row r="29" ht="15" customHeight="1" s="48">
      <c r="A29" s="54" t="inlineStr">
        <is>
          <t>ASSESSMENT APPROACH</t>
        </is>
      </c>
      <c r="B29" s="54" t="n"/>
    </row>
    <row r="30" ht="15" customHeight="1" s="48">
      <c r="A30" s="52" t="inlineStr">
        <is>
          <t>Daily</t>
        </is>
      </c>
      <c r="B30" s="53" t="inlineStr">
        <is>
          <t>Hands-on lab completion checked against the deliverable listed for each topic</t>
        </is>
      </c>
    </row>
    <row r="31" ht="15" customHeight="1" s="48">
      <c r="A31" s="52" t="inlineStr">
        <is>
          <t>Mid-program</t>
        </is>
      </c>
      <c r="B31" s="53" t="inlineStr">
        <is>
          <t>Module 1-6 quiz plus an EDA report evaluation</t>
        </is>
      </c>
    </row>
    <row r="32" ht="15" customHeight="1" s="48">
      <c r="A32" s="52" t="inlineStr">
        <is>
          <t>Final</t>
        </is>
      </c>
      <c r="B32" s="53" t="inlineStr">
        <is>
          <t>Capstone project submission, code walkthrough and presentation</t>
        </is>
      </c>
    </row>
    <row r="33" ht="15" customHeight="1" s="48">
      <c r="A33" s="52" t="inlineStr">
        <is>
          <t>Certification Criteria</t>
        </is>
      </c>
      <c r="B33" s="53" t="inlineStr">
        <is>
          <t>Minimum 80% attendance, all lab deliverables submitted, and capstone project presented</t>
        </is>
      </c>
    </row>
    <row r="34" ht="15" customHeight="1" s="48">
      <c r="A34" s="52" t="n"/>
      <c r="B34" s="53" t="n"/>
    </row>
    <row r="35" ht="15" customHeight="1" s="48">
      <c r="A35" s="52" t="inlineStr">
        <is>
          <t>Prepared By</t>
        </is>
      </c>
      <c r="B35" s="53" t="inlineStr">
        <is>
          <t>ANALYTICSWITHANAND - Corporate Training &amp; Upskilling</t>
        </is>
      </c>
    </row>
    <row r="36" ht="15" customHeight="1" s="48">
      <c r="A36" s="52" t="inlineStr">
        <is>
          <t>Document Version</t>
        </is>
      </c>
      <c r="B36" s="53" t="inlineStr">
        <is>
          <t>1.0 - 40 Hour Edition (scaled from the 4-hour learning-needs input)</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83"/>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47" min="1" max="1"/>
    <col width="26" customWidth="1" style="47" min="2" max="2"/>
    <col width="34" customWidth="1" style="47" min="3" max="3"/>
    <col width="60" customWidth="1" style="47" min="4" max="4"/>
    <col width="52" customWidth="1" style="47" min="5" max="5"/>
    <col width="40" customWidth="1" style="47" min="6" max="7"/>
    <col width="12" customWidth="1" style="47" min="8" max="9"/>
    <col width="22" customWidth="1" style="47" min="10" max="10"/>
    <col width="26" customWidth="1" style="47" min="11" max="11"/>
    <col width="30" customWidth="1" style="47" min="12" max="12"/>
  </cols>
  <sheetData>
    <row r="1" ht="27.75" customHeight="1" s="48">
      <c r="A1" s="49" t="inlineStr">
        <is>
          <t>DETAILED TABLE OF CONTENTS - PYTHON FOR DATA SCIENCE &amp; MACHINE LEARNING</t>
        </is>
      </c>
    </row>
    <row r="2" ht="19.5" customHeight="1" s="48">
      <c r="A2" s="50" t="inlineStr">
        <is>
          <t>40 Hours | 2,400 Minutes | 10 Modules | Theory + Hands-on | One row per topic</t>
        </is>
      </c>
    </row>
    <row r="4" ht="31.5" customHeight="1" s="48">
      <c r="A4" s="51" t="inlineStr">
        <is>
          <t>Module Number</t>
        </is>
      </c>
      <c r="B4" s="51" t="inlineStr">
        <is>
          <t>Module Name</t>
        </is>
      </c>
      <c r="C4" s="51" t="inlineStr">
        <is>
          <t>Detailed Topics Covered</t>
        </is>
      </c>
      <c r="D4" s="51" t="inlineStr">
        <is>
          <t>Theory Concepts</t>
        </is>
      </c>
      <c r="E4" s="51" t="inlineStr">
        <is>
          <t>Hands-on Practical Exercise</t>
        </is>
      </c>
      <c r="F4" s="51" t="inlineStr">
        <is>
          <t>Real-world Example / Industry Use Case</t>
        </is>
      </c>
      <c r="G4" s="51" t="inlineStr">
        <is>
          <t>Expected Learning Outcome</t>
        </is>
      </c>
      <c r="H4" s="51" t="inlineStr">
        <is>
          <t>Duration (Minutes)</t>
        </is>
      </c>
      <c r="I4" s="51" t="inlineStr">
        <is>
          <t>Difficulty Level</t>
        </is>
      </c>
      <c r="J4" s="51" t="inlineStr">
        <is>
          <t>Prerequisites</t>
        </is>
      </c>
      <c r="K4" s="51" t="inlineStr">
        <is>
          <t>Tools/Libraries Used</t>
        </is>
      </c>
      <c r="L4" s="51" t="inlineStr">
        <is>
          <t>Deliverables</t>
        </is>
      </c>
    </row>
    <row r="5" ht="32.25" customHeight="1" s="48">
      <c r="A5" s="55" t="inlineStr">
        <is>
          <t>Module 1</t>
        </is>
      </c>
      <c r="B5" s="56" t="inlineStr">
        <is>
          <t>Python Foundations for Data Science</t>
        </is>
      </c>
      <c r="C5" s="57" t="inlineStr">
        <is>
          <t>1.1 Python Ecosystem, Environment Setup &amp; Jupyter</t>
        </is>
      </c>
      <c r="D5" s="57" t="inlineStr">
        <is>
          <t>Why Python for data science; interpreter vs compiler; CPython execution model; Anaconda vs venv vs pip; Jupyter Notebook / JupyterLab / VS Code; kernels, cells, magic commands; notebook vs script discipline</t>
        </is>
      </c>
      <c r="E5" s="57" t="inlineStr">
        <is>
          <t>Install Anaconda, create a dedicated conda environment, launch JupyterLab, run and export a first notebook, verify library versions</t>
        </is>
      </c>
      <c r="F5" s="57" t="inlineStr">
        <is>
          <t>Standardising a single reproducible analytics environment across a distributed dev/QA team so notebooks run identically on every machine</t>
        </is>
      </c>
      <c r="G5" s="57" t="inlineStr">
        <is>
          <t>Set up a working, reproducible Python data-science environment and navigate Jupyter confidently</t>
        </is>
      </c>
      <c r="H5" s="58" t="n">
        <v>30</v>
      </c>
      <c r="I5" s="58" t="inlineStr">
        <is>
          <t>Beginner</t>
        </is>
      </c>
      <c r="J5" s="57" t="inlineStr">
        <is>
          <t>Basic computer literacy</t>
        </is>
      </c>
      <c r="K5" s="57" t="inlineStr">
        <is>
          <t>Anaconda, Python 3.11, JupyterLab, VS Code</t>
        </is>
      </c>
      <c r="L5" s="57" t="inlineStr">
        <is>
          <t>Working environment + verified setup notebook</t>
        </is>
      </c>
    </row>
    <row r="6" ht="32.25" customHeight="1" s="48">
      <c r="A6" s="55" t="inlineStr">
        <is>
          <t>Module 1</t>
        </is>
      </c>
      <c r="B6" s="56" t="inlineStr">
        <is>
          <t>Python Foundations for Data Science</t>
        </is>
      </c>
      <c r="C6" s="57" t="inlineStr">
        <is>
          <t>1.2 Variables, Data Types &amp; the Type System</t>
        </is>
      </c>
      <c r="D6" s="57" t="inlineStr">
        <is>
          <t>Dynamic typing; int, float, str, bool, complex, None; mutable vs immutable objects; object references and identity; type casting and coercion; memory model basics</t>
        </is>
      </c>
      <c r="E6" s="57" t="inlineStr">
        <is>
          <t>Write a type-explorer script that prints type, id and mutability for 10 objects; demonstrate the mutable-default-argument trap</t>
        </is>
      </c>
      <c r="F6" s="57" t="inlineStr">
        <is>
          <t>Parsing heterogeneous fields (IDs, timestamps, amounts) coming from application logs where every value arrives as a string</t>
        </is>
      </c>
      <c r="G6" s="57" t="inlineStr">
        <is>
          <t>Choose the correct data type for a field and explain mutability side effects</t>
        </is>
      </c>
      <c r="H6" s="58" t="n">
        <v>25</v>
      </c>
      <c r="I6" s="58" t="inlineStr">
        <is>
          <t>Beginner</t>
        </is>
      </c>
      <c r="J6" s="57" t="inlineStr">
        <is>
          <t>Module 1.1</t>
        </is>
      </c>
      <c r="K6" s="57" t="inlineStr">
        <is>
          <t>Python core, Jupyter</t>
        </is>
      </c>
      <c r="L6" s="57" t="inlineStr">
        <is>
          <t>types_and_variables.ipynb</t>
        </is>
      </c>
    </row>
    <row r="7" ht="32.25" customHeight="1" s="48">
      <c r="A7" s="55" t="inlineStr">
        <is>
          <t>Module 1</t>
        </is>
      </c>
      <c r="B7" s="56" t="inlineStr">
        <is>
          <t>Python Foundations for Data Science</t>
        </is>
      </c>
      <c r="C7" s="57" t="inlineStr">
        <is>
          <t>1.3 Operators &amp; Expressions</t>
        </is>
      </c>
      <c r="D7" s="57" t="inlineStr">
        <is>
          <t>Arithmetic, comparison, logical, assignment, bitwise, membership and identity operators; operator precedence and associativity; short-circuit evaluation; == vs is</t>
        </is>
      </c>
      <c r="E7" s="57" t="inlineStr">
        <is>
          <t>Build a test-metrics calculator computing pass %, defect density and escape rate from raw counts</t>
        </is>
      </c>
      <c r="F7" s="57" t="inlineStr">
        <is>
          <t>Automated computation of QA quality KPIs from a nightly regression run</t>
        </is>
      </c>
      <c r="G7" s="57" t="inlineStr">
        <is>
          <t>Write correct expressions and avoid precedence and identity-comparison bugs</t>
        </is>
      </c>
      <c r="H7" s="58" t="n">
        <v>20</v>
      </c>
      <c r="I7" s="58" t="inlineStr">
        <is>
          <t>Beginner</t>
        </is>
      </c>
      <c r="J7" s="57" t="inlineStr">
        <is>
          <t>Module 1.2</t>
        </is>
      </c>
      <c r="K7" s="57" t="inlineStr">
        <is>
          <t>Python core</t>
        </is>
      </c>
      <c r="L7" s="57" t="inlineStr">
        <is>
          <t>qa_metrics_calculator.py</t>
        </is>
      </c>
    </row>
    <row r="8" ht="32.25" customHeight="1" s="48">
      <c r="A8" s="55" t="inlineStr">
        <is>
          <t>Module 1</t>
        </is>
      </c>
      <c r="B8" s="56" t="inlineStr">
        <is>
          <t>Python Foundations for Data Science</t>
        </is>
      </c>
      <c r="C8" s="57" t="inlineStr">
        <is>
          <t>1.4 Input / Output &amp; String Handling</t>
        </is>
      </c>
      <c r="D8" s="57" t="inlineStr">
        <is>
          <t>input() and print(); f-strings and format specifiers; string methods (split, strip, replace, join, find); slicing; escape characters; introduction to regular expressions with re</t>
        </is>
      </c>
      <c r="E8" s="57" t="inlineStr">
        <is>
          <t>Parse a raw application log line into timestamp, severity, module and message fields using string methods and one regex</t>
        </is>
      </c>
      <c r="F8" s="57" t="inlineStr">
        <is>
          <t>Log-file triage in application support: turning unstructured log text into structured, searchable fields</t>
        </is>
      </c>
      <c r="G8" s="57" t="inlineStr">
        <is>
          <t>Manipulate and extract information from text data programmatically</t>
        </is>
      </c>
      <c r="H8" s="58" t="n">
        <v>25</v>
      </c>
      <c r="I8" s="58" t="inlineStr">
        <is>
          <t>Beginner</t>
        </is>
      </c>
      <c r="J8" s="57" t="inlineStr">
        <is>
          <t>Module 1.2</t>
        </is>
      </c>
      <c r="K8" s="57" t="inlineStr">
        <is>
          <t>Python core, re</t>
        </is>
      </c>
      <c r="L8" s="57" t="inlineStr">
        <is>
          <t>log_parser.py</t>
        </is>
      </c>
    </row>
    <row r="9" ht="21.75" customHeight="1" s="48">
      <c r="A9" s="55" t="inlineStr">
        <is>
          <t>Module 1</t>
        </is>
      </c>
      <c r="B9" s="56" t="inlineStr">
        <is>
          <t>Python Foundations for Data Science</t>
        </is>
      </c>
      <c r="C9" s="57" t="inlineStr">
        <is>
          <t>1.5 Conditional Statements &amp; Control Flow</t>
        </is>
      </c>
      <c r="D9" s="57" t="inlineStr">
        <is>
          <t>if / elif / else; nested conditions; ternary expression; truthiness of Python objects; match-case (structural pattern matching); guard clauses and readability</t>
        </is>
      </c>
      <c r="E9" s="57" t="inlineStr">
        <is>
          <t>Implement a defect-severity classifier that maps impact and frequency inputs to P1-P4 priority</t>
        </is>
      </c>
      <c r="F9" s="57" t="inlineStr">
        <is>
          <t>Auto-triage rules that assign incident priority before a ticket reaches an engineer</t>
        </is>
      </c>
      <c r="G9" s="57" t="inlineStr">
        <is>
          <t>Express business rules as clean, readable conditional logic</t>
        </is>
      </c>
      <c r="H9" s="58" t="n">
        <v>20</v>
      </c>
      <c r="I9" s="58" t="inlineStr">
        <is>
          <t>Beginner</t>
        </is>
      </c>
      <c r="J9" s="57" t="inlineStr">
        <is>
          <t>Module 1.3</t>
        </is>
      </c>
      <c r="K9" s="57" t="inlineStr">
        <is>
          <t>Python core</t>
        </is>
      </c>
      <c r="L9" s="57" t="inlineStr">
        <is>
          <t>severity_classifier.py</t>
        </is>
      </c>
    </row>
    <row r="10" ht="32.25" customHeight="1" s="48">
      <c r="A10" s="55" t="inlineStr">
        <is>
          <t>Module 1</t>
        </is>
      </c>
      <c r="B10" s="56" t="inlineStr">
        <is>
          <t>Python Foundations for Data Science</t>
        </is>
      </c>
      <c r="C10" s="57" t="inlineStr">
        <is>
          <t>1.6 Loops &amp; Iteration</t>
        </is>
      </c>
      <c r="D10" s="57" t="inlineStr">
        <is>
          <t>for and while loops; range, enumerate, zip; break, continue and the loop-else clause; nested loops; iteration over files and collections; loop performance considerations</t>
        </is>
      </c>
      <c r="E10" s="57" t="inlineStr">
        <is>
          <t>Iterate over a CSV of test runs, aggregate durations per suite, and flag runs exceeding an SLA threshold</t>
        </is>
      </c>
      <c r="F10" s="57" t="inlineStr">
        <is>
          <t>Batch processing of daily automation results without any external library</t>
        </is>
      </c>
      <c r="G10" s="57" t="inlineStr">
        <is>
          <t>Automate repetitive processing over collections and files</t>
        </is>
      </c>
      <c r="H10" s="58" t="n">
        <v>25</v>
      </c>
      <c r="I10" s="58" t="inlineStr">
        <is>
          <t>Beginner</t>
        </is>
      </c>
      <c r="J10" s="57" t="inlineStr">
        <is>
          <t>Module 1.5</t>
        </is>
      </c>
      <c r="K10" s="57" t="inlineStr">
        <is>
          <t>Python core, csv</t>
        </is>
      </c>
      <c r="L10" s="57" t="inlineStr">
        <is>
          <t>batch_test_processor.py</t>
        </is>
      </c>
    </row>
    <row r="11" ht="32.25" customHeight="1" s="48">
      <c r="A11" s="55" t="inlineStr">
        <is>
          <t>Module 1</t>
        </is>
      </c>
      <c r="B11" s="56" t="inlineStr">
        <is>
          <t>Python Foundations for Data Science</t>
        </is>
      </c>
      <c r="C11" s="57" t="inlineStr">
        <is>
          <t>1.7 Core Data Structures - List, Tuple, Set, Dictionary</t>
        </is>
      </c>
      <c r="D11" s="57" t="inlineStr">
        <is>
          <t>List vs tuple vs set vs dict; ordering, mutability and hashability; indexing and slicing; nested structures; dict and set methods; set algebra; time complexity of common operations</t>
        </is>
      </c>
      <c r="E11" s="57" t="inlineStr">
        <is>
          <t>Model a defect tracker as a dict of lists, deduplicate incident IDs with sets, and build a nested JSON-like structure</t>
        </is>
      </c>
      <c r="F11" s="57" t="inlineStr">
        <is>
          <t>Consolidating duplicate incident tickets raised by multiple monitoring tools into one canonical record</t>
        </is>
      </c>
      <c r="G11" s="57" t="inlineStr">
        <is>
          <t>Select the right data structure for a problem based on access pattern and complexity</t>
        </is>
      </c>
      <c r="H11" s="58" t="n">
        <v>35</v>
      </c>
      <c r="I11" s="58" t="inlineStr">
        <is>
          <t>Beginner</t>
        </is>
      </c>
      <c r="J11" s="57" t="inlineStr">
        <is>
          <t>Module 1.6</t>
        </is>
      </c>
      <c r="K11" s="57" t="inlineStr">
        <is>
          <t>Python core</t>
        </is>
      </c>
      <c r="L11" s="57" t="inlineStr">
        <is>
          <t>data_structures_workbook.ipynb</t>
        </is>
      </c>
    </row>
    <row r="12" ht="32.25" customHeight="1" s="48">
      <c r="A12" s="55" t="inlineStr">
        <is>
          <t>Module 1</t>
        </is>
      </c>
      <c r="B12" s="56" t="inlineStr">
        <is>
          <t>Python Foundations for Data Science</t>
        </is>
      </c>
      <c r="C12" s="57" t="inlineStr">
        <is>
          <t>1.8 Functions, Scope &amp; Type Hints</t>
        </is>
      </c>
      <c r="D12" s="57" t="inlineStr">
        <is>
          <t>def and return; positional, keyword and default arguments; *args and **kwargs; LEGB scope rules; pure vs impure functions; docstrings; type hints and the typing module; modular design</t>
        </is>
      </c>
      <c r="E12" s="57" t="inlineStr">
        <is>
          <t>Build a small reusable data-cleaning function library (trim, standardise case, coerce numeric, validate email) with docstrings and type hints</t>
        </is>
      </c>
      <c r="F12" s="57" t="inlineStr">
        <is>
          <t>Creating a shared utility library that every analyst on the team imports instead of copy-pasting logic</t>
        </is>
      </c>
      <c r="G12" s="57" t="inlineStr">
        <is>
          <t>Write reusable, documented, testable functions instead of monolithic scripts</t>
        </is>
      </c>
      <c r="H12" s="58" t="n">
        <v>30</v>
      </c>
      <c r="I12" s="58" t="inlineStr">
        <is>
          <t>Beginner</t>
        </is>
      </c>
      <c r="J12" s="57" t="inlineStr">
        <is>
          <t>Module 1.7</t>
        </is>
      </c>
      <c r="K12" s="57" t="inlineStr">
        <is>
          <t>Python core, typing</t>
        </is>
      </c>
      <c r="L12" s="57" t="inlineStr">
        <is>
          <t>cleaning_utils.py</t>
        </is>
      </c>
    </row>
    <row r="13" ht="32.25" customHeight="1" s="48">
      <c r="A13" s="55" t="inlineStr">
        <is>
          <t>Module 1</t>
        </is>
      </c>
      <c r="B13" s="56" t="inlineStr">
        <is>
          <t>Python Foundations for Data Science</t>
        </is>
      </c>
      <c r="C13" s="57" t="inlineStr">
        <is>
          <t>1.9 Lambda, map, filter &amp; reduce</t>
        </is>
      </c>
      <c r="D13" s="57" t="inlineStr">
        <is>
          <t>Anonymous functions; functions as first-class objects; map / filter / reduce; sorted with key functions; functional vs imperative style; when lambda hurts readability</t>
        </is>
      </c>
      <c r="E13" s="57" t="inlineStr">
        <is>
          <t>Transform a list of test durations: convert units with map, filter outliers, and rank suites using sorted(key=...)</t>
        </is>
      </c>
      <c r="F13" s="57" t="inlineStr">
        <is>
          <t>Compact in-line transformations inside data pipelines and Pandas apply calls</t>
        </is>
      </c>
      <c r="G13" s="57" t="inlineStr">
        <is>
          <t>Apply functional constructs where they simplify code and recognise where they do not</t>
        </is>
      </c>
      <c r="H13" s="58" t="n">
        <v>20</v>
      </c>
      <c r="I13" s="58" t="inlineStr">
        <is>
          <t>Beginner</t>
        </is>
      </c>
      <c r="J13" s="57" t="inlineStr">
        <is>
          <t>Module 1.8</t>
        </is>
      </c>
      <c r="K13" s="57" t="inlineStr">
        <is>
          <t>Python core, functools</t>
        </is>
      </c>
      <c r="L13" s="57" t="inlineStr">
        <is>
          <t>functional_python.ipynb</t>
        </is>
      </c>
    </row>
    <row r="14" ht="32.25" customHeight="1" s="48">
      <c r="A14" s="55" t="inlineStr">
        <is>
          <t>Module 1</t>
        </is>
      </c>
      <c r="B14" s="56" t="inlineStr">
        <is>
          <t>Python Foundations for Data Science</t>
        </is>
      </c>
      <c r="C14" s="57" t="inlineStr">
        <is>
          <t>1.10 List, Dict &amp; Set Comprehensions + Generator Expressions</t>
        </is>
      </c>
      <c r="D14" s="57" t="inlineStr">
        <is>
          <t>Comprehension syntax; conditional and nested comprehensions; dict and set comprehensions; generator expressions and lazy evaluation; memory and speed trade-offs; readability limits</t>
        </is>
      </c>
      <c r="E14" s="57" t="inlineStr">
        <is>
          <t>Rewrite three loop-based transformations as comprehensions and benchmark memory and runtime against a generator expression</t>
        </is>
      </c>
      <c r="F14" s="57" t="inlineStr">
        <is>
          <t>Memory-efficient transformation of multi-million-row extracts on a constrained machine</t>
        </is>
      </c>
      <c r="G14" s="57" t="inlineStr">
        <is>
          <t>Write concise, Pythonic transformations and reason about their memory footprint</t>
        </is>
      </c>
      <c r="H14" s="58" t="n">
        <v>25</v>
      </c>
      <c r="I14" s="58" t="inlineStr">
        <is>
          <t>Intermediate</t>
        </is>
      </c>
      <c r="J14" s="57" t="inlineStr">
        <is>
          <t>Module 1.9</t>
        </is>
      </c>
      <c r="K14" s="57" t="inlineStr">
        <is>
          <t>Python core, sys, timeit</t>
        </is>
      </c>
      <c r="L14" s="57" t="inlineStr">
        <is>
          <t>comprehensions_benchmark.ipynb</t>
        </is>
      </c>
    </row>
    <row r="15" ht="21.75" customHeight="1" s="48">
      <c r="A15" s="55" t="inlineStr">
        <is>
          <t>Module 1</t>
        </is>
      </c>
      <c r="B15" s="56" t="inlineStr">
        <is>
          <t>Python Foundations for Data Science</t>
        </is>
      </c>
      <c r="C15" s="57" t="inlineStr">
        <is>
          <t>1.11 Module 1 Consolidation, Quiz &amp; Q&amp;A</t>
        </is>
      </c>
      <c r="D15" s="57" t="inlineStr">
        <is>
          <t>Recap of the Python foundation stack; common beginner pitfalls; coding-standard checklist; guided doubt clearing</t>
        </is>
      </c>
      <c r="E15" s="57" t="inlineStr">
        <is>
          <t>Timed 15-question quiz plus a mini coding challenge combining functions, dictionaries and comprehensions</t>
        </is>
      </c>
      <c r="F15" s="57" t="inlineStr">
        <is>
          <t>Skills baseline check used by L&amp;D to confirm readiness before the data-analysis track</t>
        </is>
      </c>
      <c r="G15" s="57" t="inlineStr">
        <is>
          <t>Confirm command of core Python before moving to the data-analysis libraries</t>
        </is>
      </c>
      <c r="H15" s="58" t="n">
        <v>15</v>
      </c>
      <c r="I15" s="58" t="inlineStr">
        <is>
          <t>Beginner</t>
        </is>
      </c>
      <c r="J15" s="57" t="inlineStr">
        <is>
          <t>Modules 1.1-1.10</t>
        </is>
      </c>
      <c r="K15" s="57" t="inlineStr">
        <is>
          <t>Python core</t>
        </is>
      </c>
      <c r="L15" s="57" t="inlineStr">
        <is>
          <t>Quiz score sheet + solution notebook</t>
        </is>
      </c>
    </row>
    <row r="16" ht="32.25" customHeight="1" s="48">
      <c r="A16" s="59" t="inlineStr">
        <is>
          <t>Module 2</t>
        </is>
      </c>
      <c r="B16" s="60" t="inlineStr">
        <is>
          <t>Advanced Python &amp; Engineering Practices</t>
        </is>
      </c>
      <c r="C16" s="61" t="inlineStr">
        <is>
          <t>2.1 Exception Handling &amp; Logging</t>
        </is>
      </c>
      <c r="D16" s="61" t="inlineStr">
        <is>
          <t>try / except / else / finally; exception hierarchy; catching specific vs bare exceptions; raise and re-raise; custom exception classes; context of failure; the logging module, levels and handlers</t>
        </is>
      </c>
      <c r="E16" s="61" t="inlineStr">
        <is>
          <t>Build a resilient CSV loader with targeted exception handling, a custom DataQualityError, retry logic and structured logging to file</t>
        </is>
      </c>
      <c r="F16" s="61" t="inlineStr">
        <is>
          <t>A nightly ingestion job that must fail loudly with a diagnosable log rather than silently producing partial data</t>
        </is>
      </c>
      <c r="G16" s="61" t="inlineStr">
        <is>
          <t>Write fault-tolerant code that fails predictably and leaves a usable audit trail</t>
        </is>
      </c>
      <c r="H16" s="62" t="n">
        <v>30</v>
      </c>
      <c r="I16" s="62" t="inlineStr">
        <is>
          <t>Intermediate</t>
        </is>
      </c>
      <c r="J16" s="61" t="inlineStr">
        <is>
          <t>Module 1</t>
        </is>
      </c>
      <c r="K16" s="61" t="inlineStr">
        <is>
          <t>Python core, logging</t>
        </is>
      </c>
      <c r="L16" s="61" t="inlineStr">
        <is>
          <t>resilient_loader.py + run log</t>
        </is>
      </c>
    </row>
    <row r="17" ht="32.25" customHeight="1" s="48">
      <c r="A17" s="59" t="inlineStr">
        <is>
          <t>Module 2</t>
        </is>
      </c>
      <c r="B17" s="60" t="inlineStr">
        <is>
          <t>Advanced Python &amp; Engineering Practices</t>
        </is>
      </c>
      <c r="C17" s="61" t="inlineStr">
        <is>
          <t>2.2 File Handling &amp; Data Formats</t>
        </is>
      </c>
      <c r="D17" s="61" t="inlineStr">
        <is>
          <t>open modes and encodings; the with context manager; reading and writing CSV, JSON and text; os vs pathlib; directory traversal; relative vs absolute paths; large-file streaming</t>
        </is>
      </c>
      <c r="E17" s="61" t="inlineStr">
        <is>
          <t>Read and write CSV and JSON, walk a directory tree to collect all result files, and merge them into one consolidated output</t>
        </is>
      </c>
      <c r="F17" s="61" t="inlineStr">
        <is>
          <t>Consolidating daily test-result exports scattered across dated folders into a single analysis-ready file</t>
        </is>
      </c>
      <c r="G17" s="61" t="inlineStr">
        <is>
          <t>Read from and write to the file system safely across formats and platforms</t>
        </is>
      </c>
      <c r="H17" s="62" t="n">
        <v>30</v>
      </c>
      <c r="I17" s="62" t="inlineStr">
        <is>
          <t>Intermediate</t>
        </is>
      </c>
      <c r="J17" s="61" t="inlineStr">
        <is>
          <t>Module 2.1</t>
        </is>
      </c>
      <c r="K17" s="61" t="inlineStr">
        <is>
          <t>Python core, csv, json, pathlib</t>
        </is>
      </c>
      <c r="L17" s="61" t="inlineStr">
        <is>
          <t>file_consolidator.py</t>
        </is>
      </c>
    </row>
    <row r="18" ht="32.25" customHeight="1" s="48">
      <c r="A18" s="59" t="inlineStr">
        <is>
          <t>Module 2</t>
        </is>
      </c>
      <c r="B18" s="60" t="inlineStr">
        <is>
          <t>Advanced Python &amp; Engineering Practices</t>
        </is>
      </c>
      <c r="C18" s="61" t="inlineStr">
        <is>
          <t>2.3 OOP Part 1 - Classes, Objects &amp; Dunder Methods</t>
        </is>
      </c>
      <c r="D18" s="61" t="inlineStr">
        <is>
          <t>Class vs object; __init__ and self; instance vs class attributes; instance, class and static methods; properties and encapsulation; __repr__, __str__, __len__, __eq__; object lifecycle</t>
        </is>
      </c>
      <c r="E18" s="61" t="inlineStr">
        <is>
          <t>Build a Dataset class that loads a file, exposes shape and summary properties, and implements __repr__ and __len__</t>
        </is>
      </c>
      <c r="F18" s="61" t="inlineStr">
        <is>
          <t>Wrapping a messy data source behind a clean object interface that the rest of the codebase can rely on</t>
        </is>
      </c>
      <c r="G18" s="61" t="inlineStr">
        <is>
          <t>Design and implement classes that model real entities cleanly</t>
        </is>
      </c>
      <c r="H18" s="62" t="n">
        <v>35</v>
      </c>
      <c r="I18" s="62" t="inlineStr">
        <is>
          <t>Intermediate</t>
        </is>
      </c>
      <c r="J18" s="61" t="inlineStr">
        <is>
          <t>Module 2.2</t>
        </is>
      </c>
      <c r="K18" s="61" t="inlineStr">
        <is>
          <t>Python core</t>
        </is>
      </c>
      <c r="L18" s="61" t="inlineStr">
        <is>
          <t>dataset_class.py</t>
        </is>
      </c>
    </row>
    <row r="19" ht="32.25" customHeight="1" s="48">
      <c r="A19" s="59" t="inlineStr">
        <is>
          <t>Module 2</t>
        </is>
      </c>
      <c r="B19" s="60" t="inlineStr">
        <is>
          <t>Advanced Python &amp; Engineering Practices</t>
        </is>
      </c>
      <c r="C19" s="61" t="inlineStr">
        <is>
          <t>2.4 OOP Part 2 - Inheritance, Polymorphism, Encapsulation &amp; Abstraction</t>
        </is>
      </c>
      <c r="D19" s="61" t="inlineStr">
        <is>
          <t>The four pillars; single and multi-level inheritance; super() and MRO; method overriding; abstract base classes; duck typing; composition vs inheritance; SOLID principles overview</t>
        </is>
      </c>
      <c r="E19" s="61" t="inlineStr">
        <is>
          <t>Build a BaseModel abstract class with fit / predict / evaluate and two concrete subclasses that mirror the scikit-learn estimator contract</t>
        </is>
      </c>
      <c r="F19" s="61" t="inlineStr">
        <is>
          <t>Understanding why every scikit-learn model exposes the same fit/predict interface and how to plug a custom model into it</t>
        </is>
      </c>
      <c r="G19" s="61" t="inlineStr">
        <is>
          <t>Apply OOP design to build extensible ML and data components</t>
        </is>
      </c>
      <c r="H19" s="62" t="n">
        <v>35</v>
      </c>
      <c r="I19" s="62" t="inlineStr">
        <is>
          <t>Intermediate</t>
        </is>
      </c>
      <c r="J19" s="61" t="inlineStr">
        <is>
          <t>Module 2.3</t>
        </is>
      </c>
      <c r="K19" s="61" t="inlineStr">
        <is>
          <t>Python core, abc</t>
        </is>
      </c>
      <c r="L19" s="61" t="inlineStr">
        <is>
          <t>model_hierarchy.py</t>
        </is>
      </c>
    </row>
    <row r="20" ht="32.25" customHeight="1" s="48">
      <c r="A20" s="59" t="inlineStr">
        <is>
          <t>Module 2</t>
        </is>
      </c>
      <c r="B20" s="60" t="inlineStr">
        <is>
          <t>Advanced Python &amp; Engineering Practices</t>
        </is>
      </c>
      <c r="C20" s="61" t="inlineStr">
        <is>
          <t>2.5 Modules, Packages, Virtual Environments &amp; Project Structure</t>
        </is>
      </c>
      <c r="D20" s="61" t="inlineStr">
        <is>
          <t>The import system and sys.path; module vs package; __init__.py; absolute vs relative imports; pip, conda and requirements.txt; venv isolation; standard project layout; if __name__ == '__main__'</t>
        </is>
      </c>
      <c r="E20" s="61" t="inlineStr">
        <is>
          <t>Package the cleaning utilities into a local installable package, pin dependencies in requirements.txt, and import it from a fresh notebook</t>
        </is>
      </c>
      <c r="F20" s="61" t="inlineStr">
        <is>
          <t>Turning ad-hoc notebook code into a versioned internal library that multiple projects can install</t>
        </is>
      </c>
      <c r="G20" s="61" t="inlineStr">
        <is>
          <t>Structure Python work as a maintainable, shareable project rather than loose scripts</t>
        </is>
      </c>
      <c r="H20" s="62" t="n">
        <v>30</v>
      </c>
      <c r="I20" s="62" t="inlineStr">
        <is>
          <t>Intermediate</t>
        </is>
      </c>
      <c r="J20" s="61" t="inlineStr">
        <is>
          <t>Module 2.4</t>
        </is>
      </c>
      <c r="K20" s="61" t="inlineStr">
        <is>
          <t>pip, venv/conda, setuptools</t>
        </is>
      </c>
      <c r="L20" s="61" t="inlineStr">
        <is>
          <t>Packaged utils library + requirements.txt</t>
        </is>
      </c>
    </row>
    <row r="21" ht="32.25" customHeight="1" s="48">
      <c r="A21" s="59" t="inlineStr">
        <is>
          <t>Module 2</t>
        </is>
      </c>
      <c r="B21" s="60" t="inlineStr">
        <is>
          <t>Advanced Python &amp; Engineering Practices</t>
        </is>
      </c>
      <c r="C21" s="61" t="inlineStr">
        <is>
          <t>2.6 Iterators, Generators &amp; Decorators</t>
        </is>
      </c>
      <c r="D21" s="61" t="inlineStr">
        <is>
          <t>Iterator protocol (__iter__, __next__); yield and generator functions; generator pipelines; lazy evaluation; closures and first-class functions; decorators and functools.wraps; practical decorator patterns</t>
        </is>
      </c>
      <c r="E21" s="61" t="inlineStr">
        <is>
          <t>Write a chunked file-reading generator and a @timeit decorator; compare memory usage against loading the whole file</t>
        </is>
      </c>
      <c r="F21" s="61" t="inlineStr">
        <is>
          <t>Streaming a multi-GB log file through a transformation pipeline on a laptop without exhausting RAM</t>
        </is>
      </c>
      <c r="G21" s="61" t="inlineStr">
        <is>
          <t>Process large data lazily and add cross-cutting behaviour without touching business logic</t>
        </is>
      </c>
      <c r="H21" s="62" t="n">
        <v>30</v>
      </c>
      <c r="I21" s="62" t="inlineStr">
        <is>
          <t>Advanced</t>
        </is>
      </c>
      <c r="J21" s="61" t="inlineStr">
        <is>
          <t>Module 2.5</t>
        </is>
      </c>
      <c r="K21" s="61" t="inlineStr">
        <is>
          <t>Python core, functools</t>
        </is>
      </c>
      <c r="L21" s="61" t="inlineStr">
        <is>
          <t>generators_and_decorators.ipynb</t>
        </is>
      </c>
    </row>
    <row r="22" ht="32.25" customHeight="1" s="48">
      <c r="A22" s="59" t="inlineStr">
        <is>
          <t>Module 2</t>
        </is>
      </c>
      <c r="B22" s="60" t="inlineStr">
        <is>
          <t>Advanced Python &amp; Engineering Practices</t>
        </is>
      </c>
      <c r="C22" s="61" t="inlineStr">
        <is>
          <t>2.7 Pythonic Best Practices, Debugging &amp; Unit Testing</t>
        </is>
      </c>
      <c r="D22" s="61" t="inlineStr">
        <is>
          <t>PEP 8 and naming conventions; readability and code smells; docstring standards; linting and formatting with flake8 and black; debugging with breakpoints and pdb; introduction to pytest, assertions and fixtures</t>
        </is>
      </c>
      <c r="E22" s="61" t="inlineStr">
        <is>
          <t>Refactor an intentionally poor script against PEP 8 and write three pytest cases covering happy path, edge case and failure</t>
        </is>
      </c>
      <c r="F22" s="61" t="inlineStr">
        <is>
          <t>Code-review readiness: shipping analytics code that passes the same quality gate as application code</t>
        </is>
      </c>
      <c r="G22" s="61" t="inlineStr">
        <is>
          <t>Produce clean, linted, tested Python that survives peer review</t>
        </is>
      </c>
      <c r="H22" s="62" t="n">
        <v>20</v>
      </c>
      <c r="I22" s="62" t="inlineStr">
        <is>
          <t>Intermediate</t>
        </is>
      </c>
      <c r="J22" s="61" t="inlineStr">
        <is>
          <t>Module 2.6</t>
        </is>
      </c>
      <c r="K22" s="61" t="inlineStr">
        <is>
          <t>black, flake8, pytest, pdb</t>
        </is>
      </c>
      <c r="L22" s="61" t="inlineStr">
        <is>
          <t>Refactored module + passing test suite</t>
        </is>
      </c>
    </row>
    <row r="23" ht="32.25" customHeight="1" s="48">
      <c r="A23" s="55" t="inlineStr">
        <is>
          <t>Module 3</t>
        </is>
      </c>
      <c r="B23" s="56" t="inlineStr">
        <is>
          <t>NumPy for Numerical Computing</t>
        </is>
      </c>
      <c r="C23" s="57" t="inlineStr">
        <is>
          <t>3.1 NumPy Fundamentals &amp; the ndarray</t>
        </is>
      </c>
      <c r="D23" s="57" t="inlineStr">
        <is>
          <t>Why NumPy: contiguous memory and C-level loops; ndarray vs Python list; dtype and itemsize; array creation with array, zeros, ones, full, arange, linspace, random; shape, ndim, size, dtype attributes</t>
        </is>
      </c>
      <c r="E23" s="57" t="inlineStr">
        <is>
          <t>Create arrays with every construction method, inspect their attributes, and benchmark a NumPy sum against a pure-Python loop over one million elements</t>
        </is>
      </c>
      <c r="F23" s="57" t="inlineStr">
        <is>
          <t>Replacing slow row-by-row numeric loops in an existing reporting script with array operations</t>
        </is>
      </c>
      <c r="G23" s="57" t="inlineStr">
        <is>
          <t>Explain why NumPy is fast and create arrays fit for purpose</t>
        </is>
      </c>
      <c r="H23" s="58" t="n">
        <v>30</v>
      </c>
      <c r="I23" s="58" t="inlineStr">
        <is>
          <t>Beginner</t>
        </is>
      </c>
      <c r="J23" s="57" t="inlineStr">
        <is>
          <t>Module 1</t>
        </is>
      </c>
      <c r="K23" s="57" t="inlineStr">
        <is>
          <t>NumPy</t>
        </is>
      </c>
      <c r="L23" s="57" t="inlineStr">
        <is>
          <t>numpy_basics.ipynb</t>
        </is>
      </c>
    </row>
    <row r="24" ht="32.25" customHeight="1" s="48">
      <c r="A24" s="55" t="inlineStr">
        <is>
          <t>Module 3</t>
        </is>
      </c>
      <c r="B24" s="56" t="inlineStr">
        <is>
          <t>NumPy for Numerical Computing</t>
        </is>
      </c>
      <c r="C24" s="57" t="inlineStr">
        <is>
          <t>3.2 Indexing, Slicing, Fancy Indexing &amp; Boolean Masking</t>
        </is>
      </c>
      <c r="D24" s="57" t="inlineStr">
        <is>
          <t>Basic indexing and slicing; views vs copies and the aliasing trap; fancy (integer array) indexing; boolean masks; np.where; conditional assignment; multi-dimensional selection</t>
        </is>
      </c>
      <c r="E24" s="57" t="inlineStr">
        <is>
          <t>Filter sensor readings above a threshold with a boolean mask, replace anomalies using np.where, and prove the view-vs-copy difference</t>
        </is>
      </c>
      <c r="F24" s="57" t="inlineStr">
        <is>
          <t>Flagging and correcting out-of-range telemetry readings before they reach a model</t>
        </is>
      </c>
      <c r="G24" s="57" t="inlineStr">
        <is>
          <t>Select and modify array subsets precisely without accidental data corruption</t>
        </is>
      </c>
      <c r="H24" s="58" t="n">
        <v>30</v>
      </c>
      <c r="I24" s="58" t="inlineStr">
        <is>
          <t>Beginner</t>
        </is>
      </c>
      <c r="J24" s="57" t="inlineStr">
        <is>
          <t>Module 3.1</t>
        </is>
      </c>
      <c r="K24" s="57" t="inlineStr">
        <is>
          <t>NumPy</t>
        </is>
      </c>
      <c r="L24" s="57" t="inlineStr">
        <is>
          <t>numpy_indexing.ipynb</t>
        </is>
      </c>
    </row>
    <row r="25" ht="32.25" customHeight="1" s="48">
      <c r="A25" s="55" t="inlineStr">
        <is>
          <t>Module 3</t>
        </is>
      </c>
      <c r="B25" s="56" t="inlineStr">
        <is>
          <t>NumPy for Numerical Computing</t>
        </is>
      </c>
      <c r="C25" s="57" t="inlineStr">
        <is>
          <t>3.3 Reshaping, Stacking &amp; Splitting Arrays</t>
        </is>
      </c>
      <c r="D25" s="57" t="inlineStr">
        <is>
          <t>reshape and the -1 dimension; ravel vs flatten; transpose and axis semantics; concatenate, hstack, vstack, column_stack; split, hsplit, vsplit; understanding axis=0 vs axis=1</t>
        </is>
      </c>
      <c r="E25" s="57" t="inlineStr">
        <is>
          <t>Reshape a flat feature vector into a matrix, stack train and validation blocks, and split a dataset array into batches</t>
        </is>
      </c>
      <c r="F25" s="57" t="inlineStr">
        <is>
          <t>Preparing batched input matrices for a model training loop</t>
        </is>
      </c>
      <c r="G25" s="57" t="inlineStr">
        <is>
          <t>Manipulate array shape and geometry with confidence about axis semantics</t>
        </is>
      </c>
      <c r="H25" s="58" t="n">
        <v>25</v>
      </c>
      <c r="I25" s="58" t="inlineStr">
        <is>
          <t>Intermediate</t>
        </is>
      </c>
      <c r="J25" s="57" t="inlineStr">
        <is>
          <t>Module 3.2</t>
        </is>
      </c>
      <c r="K25" s="57" t="inlineStr">
        <is>
          <t>NumPy</t>
        </is>
      </c>
      <c r="L25" s="57" t="inlineStr">
        <is>
          <t>numpy_reshaping.ipynb</t>
        </is>
      </c>
    </row>
    <row r="26" ht="32.25" customHeight="1" s="48">
      <c r="A26" s="55" t="inlineStr">
        <is>
          <t>Module 3</t>
        </is>
      </c>
      <c r="B26" s="56" t="inlineStr">
        <is>
          <t>NumPy for Numerical Computing</t>
        </is>
      </c>
      <c r="C26" s="57" t="inlineStr">
        <is>
          <t>3.4 Broadcasting &amp; Vectorisation</t>
        </is>
      </c>
      <c r="D26" s="57" t="inlineStr">
        <is>
          <t>Broadcasting rules and shape compatibility; universal functions (ufuncs); vectorised operations vs explicit loops; np.vectorize caveats; performance profiling; avoiding hidden copies</t>
        </is>
      </c>
      <c r="E26" s="57" t="inlineStr">
        <is>
          <t>Normalise a feature matrix column-wise using broadcasting only, then time it against the equivalent nested loop</t>
        </is>
      </c>
      <c r="F26" s="57" t="inlineStr">
        <is>
          <t>Scaling millions of feature values in seconds during a production feature-engineering step</t>
        </is>
      </c>
      <c r="G26" s="57" t="inlineStr">
        <is>
          <t>Write loop-free numerical code and quantify the speed-up</t>
        </is>
      </c>
      <c r="H26" s="58" t="n">
        <v>35</v>
      </c>
      <c r="I26" s="58" t="inlineStr">
        <is>
          <t>Intermediate</t>
        </is>
      </c>
      <c r="J26" s="57" t="inlineStr">
        <is>
          <t>Module 3.3</t>
        </is>
      </c>
      <c r="K26" s="57" t="inlineStr">
        <is>
          <t>NumPy, timeit</t>
        </is>
      </c>
      <c r="L26" s="57" t="inlineStr">
        <is>
          <t>vectorisation_benchmark.ipynb</t>
        </is>
      </c>
    </row>
    <row r="27" ht="32.25" customHeight="1" s="48">
      <c r="A27" s="55" t="inlineStr">
        <is>
          <t>Module 3</t>
        </is>
      </c>
      <c r="B27" s="56" t="inlineStr">
        <is>
          <t>NumPy for Numerical Computing</t>
        </is>
      </c>
      <c r="C27" s="57" t="inlineStr">
        <is>
          <t>3.5 Mathematical, Statistical &amp; Linear Algebra Operations</t>
        </is>
      </c>
      <c r="D27" s="57" t="inlineStr">
        <is>
          <t>Element-wise math; aggregations (sum, mean, std, min, max, argmin, argmax) with the axis argument; cumulative functions; np.dot and matmul; np.linalg (inv, solve, norm); random module and seeding for reproducibility</t>
        </is>
      </c>
      <c r="E27" s="57" t="inlineStr">
        <is>
          <t>Implement ordinary least squares regression from scratch using only NumPy linear algebra and compare coefficients with scikit-learn</t>
        </is>
      </c>
      <c r="F27" s="57" t="inlineStr">
        <is>
          <t>Understanding exactly what a library model computes before trusting it in a regulated decision process</t>
        </is>
      </c>
      <c r="G27" s="57" t="inlineStr">
        <is>
          <t>Perform numerical and matrix computation and connect it to the mathematics behind ML</t>
        </is>
      </c>
      <c r="H27" s="58" t="n">
        <v>30</v>
      </c>
      <c r="I27" s="58" t="inlineStr">
        <is>
          <t>Advanced</t>
        </is>
      </c>
      <c r="J27" s="57" t="inlineStr">
        <is>
          <t>Module 3.4</t>
        </is>
      </c>
      <c r="K27" s="57" t="inlineStr">
        <is>
          <t>NumPy, numpy.linalg</t>
        </is>
      </c>
      <c r="L27" s="57" t="inlineStr">
        <is>
          <t>ols_from_scratch.ipynb</t>
        </is>
      </c>
    </row>
    <row r="28" ht="32.25" customHeight="1" s="48">
      <c r="A28" s="59" t="inlineStr">
        <is>
          <t>Module 4</t>
        </is>
      </c>
      <c r="B28" s="60" t="inlineStr">
        <is>
          <t>Pandas for Data Analysis</t>
        </is>
      </c>
      <c r="C28" s="61" t="inlineStr">
        <is>
          <t>4.1 Series &amp; DataFrame Fundamentals</t>
        </is>
      </c>
      <c r="D28" s="61" t="inlineStr">
        <is>
          <t>Series vs DataFrame; the Index object; axes and shape; dtypes and memory usage; construction from dict, list of dicts, NumPy array and file; head, tail, info, describe, sample</t>
        </is>
      </c>
      <c r="E28" s="61" t="inlineStr">
        <is>
          <t>Build the same DataFrame four different ways, inspect dtypes and memory, and downcast numeric columns to reduce footprint</t>
        </is>
      </c>
      <c r="F28" s="61" t="inlineStr">
        <is>
          <t>Loading a customer master extract and profiling its size and structure before any analysis begins</t>
        </is>
      </c>
      <c r="G28" s="61" t="inlineStr">
        <is>
          <t>Create and inspect Pandas objects and reason about their internal structure</t>
        </is>
      </c>
      <c r="H28" s="62" t="n">
        <v>35</v>
      </c>
      <c r="I28" s="62" t="inlineStr">
        <is>
          <t>Beginner</t>
        </is>
      </c>
      <c r="J28" s="61" t="inlineStr">
        <is>
          <t>Modules 1-3</t>
        </is>
      </c>
      <c r="K28" s="61" t="inlineStr">
        <is>
          <t>Pandas, NumPy</t>
        </is>
      </c>
      <c r="L28" s="61" t="inlineStr">
        <is>
          <t>pandas_fundamentals.ipynb</t>
        </is>
      </c>
    </row>
    <row r="29" ht="32.25" customHeight="1" s="48">
      <c r="A29" s="59" t="inlineStr">
        <is>
          <t>Module 4</t>
        </is>
      </c>
      <c r="B29" s="60" t="inlineStr">
        <is>
          <t>Pandas for Data Analysis</t>
        </is>
      </c>
      <c r="C29" s="61" t="inlineStr">
        <is>
          <t>4.2 Reading &amp; Writing Data - CSV, Excel, JSON &amp; SQL</t>
        </is>
      </c>
      <c r="D29" s="61" t="inlineStr">
        <is>
          <t>read_csv key parameters (sep, header, usecols, dtype, parse_dates, na_values, nrows, chunksize, encoding); read_excel and sheet_name; read_json; read_sql with a connection; to_csv, to_excel, to_parquet; handling malformed rows</t>
        </is>
      </c>
      <c r="E29" s="61" t="inlineStr">
        <is>
          <t>Ingest a multi-sheet Excel workbook and a large delimited file using chunksize and explicit dtypes, then export a cleaned Parquet file</t>
        </is>
      </c>
      <c r="F29" s="61" t="inlineStr">
        <is>
          <t>Pulling operational data from a relational source and archiving an analysis-ready snapshot</t>
        </is>
      </c>
      <c r="G29" s="61" t="inlineStr">
        <is>
          <t>Read from and write to every common enterprise data format reliably</t>
        </is>
      </c>
      <c r="H29" s="62" t="n">
        <v>35</v>
      </c>
      <c r="I29" s="62" t="inlineStr">
        <is>
          <t>Beginner</t>
        </is>
      </c>
      <c r="J29" s="61" t="inlineStr">
        <is>
          <t>Module 4.1</t>
        </is>
      </c>
      <c r="K29" s="61" t="inlineStr">
        <is>
          <t>Pandas, openpyxl, SQLAlchemy, pyarrow</t>
        </is>
      </c>
      <c r="L29" s="61" t="inlineStr">
        <is>
          <t>ingestion_notebook.ipynb + cleaned extract</t>
        </is>
      </c>
    </row>
    <row r="30" ht="32.25" customHeight="1" s="48">
      <c r="A30" s="59" t="inlineStr">
        <is>
          <t>Module 4</t>
        </is>
      </c>
      <c r="B30" s="60" t="inlineStr">
        <is>
          <t>Pandas for Data Analysis</t>
        </is>
      </c>
      <c r="C30" s="61" t="inlineStr">
        <is>
          <t>4.3 Selection, Filtering &amp; Indexing with loc, iloc and query</t>
        </is>
      </c>
      <c r="D30" s="61" t="inlineStr">
        <is>
          <t>Label-based loc vs positional iloc; single vs multiple conditions; the and/or vs &amp;/| trap; query(); isin, between, str.contains; set_index and reset_index; introduction to MultiIndex; chained-assignment and SettingWithCopyWarning</t>
        </is>
      </c>
      <c r="E30" s="61" t="inlineStr">
        <is>
          <t>Slice a customer dataset by multi-condition filters using both boolean masks and query, then resolve a deliberately triggered SettingWithCopyWarning</t>
        </is>
      </c>
      <c r="F30" s="61" t="inlineStr">
        <is>
          <t>Extracting the exact cohort a business stakeholder asked for without silently mutating the source frame</t>
        </is>
      </c>
      <c r="G30" s="61" t="inlineStr">
        <is>
          <t>Retrieve any subset of a DataFrame safely and predictably</t>
        </is>
      </c>
      <c r="H30" s="62" t="n">
        <v>35</v>
      </c>
      <c r="I30" s="62" t="inlineStr">
        <is>
          <t>Beginner</t>
        </is>
      </c>
      <c r="J30" s="61" t="inlineStr">
        <is>
          <t>Module 4.2</t>
        </is>
      </c>
      <c r="K30" s="61" t="inlineStr">
        <is>
          <t>Pandas</t>
        </is>
      </c>
      <c r="L30" s="61" t="inlineStr">
        <is>
          <t>pandas_selection.ipynb</t>
        </is>
      </c>
    </row>
    <row r="31" ht="32.25" customHeight="1" s="48">
      <c r="A31" s="59" t="inlineStr">
        <is>
          <t>Module 4</t>
        </is>
      </c>
      <c r="B31" s="60" t="inlineStr">
        <is>
          <t>Pandas for Data Analysis</t>
        </is>
      </c>
      <c r="C31" s="61" t="inlineStr">
        <is>
          <t>4.4 Sorting, Ranking &amp; Column Transformations</t>
        </is>
      </c>
      <c r="D31" s="61" t="inlineStr">
        <is>
          <t>sort_values with multiple keys and na_position; sort_index; rank and tie methods; apply vs map vs applymap and their performance cost; astype; vectorised .str and .dt accessors</t>
        </is>
      </c>
      <c r="E31" s="61" t="inlineStr">
        <is>
          <t>Standardise a messy name, email and phone column using vectorised string operations and compare runtime against a row-wise apply</t>
        </is>
      </c>
      <c r="F31" s="61" t="inlineStr">
        <is>
          <t>Cleaning inconsistent CRM contact fields before they are used as join keys</t>
        </is>
      </c>
      <c r="G31" s="61" t="inlineStr">
        <is>
          <t>Transform columns idiomatically and avoid unnecessary row-wise operations</t>
        </is>
      </c>
      <c r="H31" s="62" t="n">
        <v>25</v>
      </c>
      <c r="I31" s="62" t="inlineStr">
        <is>
          <t>Intermediate</t>
        </is>
      </c>
      <c r="J31" s="61" t="inlineStr">
        <is>
          <t>Module 4.3</t>
        </is>
      </c>
      <c r="K31" s="61" t="inlineStr">
        <is>
          <t>Pandas</t>
        </is>
      </c>
      <c r="L31" s="61" t="inlineStr">
        <is>
          <t>column_transformations.ipynb</t>
        </is>
      </c>
    </row>
    <row r="32" ht="32.25" customHeight="1" s="48">
      <c r="A32" s="59" t="inlineStr">
        <is>
          <t>Module 4</t>
        </is>
      </c>
      <c r="B32" s="60" t="inlineStr">
        <is>
          <t>Pandas for Data Analysis</t>
        </is>
      </c>
      <c r="C32" s="61" t="inlineStr">
        <is>
          <t>4.5 GroupBy &amp; Aggregations</t>
        </is>
      </c>
      <c r="D32" s="61" t="inlineStr">
        <is>
          <t>Split-apply-combine model; groupby object internals; agg with single, multiple and named aggregations; transform vs agg vs filter; as_index behaviour; value_counts; crosstab; multi-level grouping</t>
        </is>
      </c>
      <c r="E32" s="61" t="inlineStr">
        <is>
          <t>Compute revenue, average tenure and churn rate by region and contract type, then use transform to add a group-mean column back to the row level</t>
        </is>
      </c>
      <c r="F32" s="61" t="inlineStr">
        <is>
          <t>Producing the monthly KPI pack that leadership reviews, broken down by segment and geography</t>
        </is>
      </c>
      <c r="G32" s="61" t="inlineStr">
        <is>
          <t>Aggregate data at any grain and attach group-level context to row-level data</t>
        </is>
      </c>
      <c r="H32" s="62" t="n">
        <v>40</v>
      </c>
      <c r="I32" s="62" t="inlineStr">
        <is>
          <t>Intermediate</t>
        </is>
      </c>
      <c r="J32" s="61" t="inlineStr">
        <is>
          <t>Module 4.4</t>
        </is>
      </c>
      <c r="K32" s="61" t="inlineStr">
        <is>
          <t>Pandas</t>
        </is>
      </c>
      <c r="L32" s="61" t="inlineStr">
        <is>
          <t>groupby_kpi_notebook.ipynb</t>
        </is>
      </c>
    </row>
    <row r="33" ht="32.25" customHeight="1" s="48">
      <c r="A33" s="59" t="inlineStr">
        <is>
          <t>Module 4</t>
        </is>
      </c>
      <c r="B33" s="60" t="inlineStr">
        <is>
          <t>Pandas for Data Analysis</t>
        </is>
      </c>
      <c r="C33" s="61" t="inlineStr">
        <is>
          <t>4.6 Merge, Join &amp; Concatenate</t>
        </is>
      </c>
      <c r="D33" s="61" t="inlineStr">
        <is>
          <t>Inner, left, right and outer joins; on, left_on and right_on; join on index; suffixes; concat along both axes; the validate and indicator arguments; row-explosion from duplicate keys; join key hygiene</t>
        </is>
      </c>
      <c r="E33" s="61" t="inlineStr">
        <is>
          <t>Join customer, transaction and support-ticket tables into a single analysis table, use validate to catch a many-to-many blow-up, and reconcile row counts</t>
        </is>
      </c>
      <c r="F33" s="61" t="inlineStr">
        <is>
          <t>Building a 360-degree customer view from three systems that never agreed on a key</t>
        </is>
      </c>
      <c r="G33" s="61" t="inlineStr">
        <is>
          <t>Combine multiple sources correctly and detect join defects before they corrupt analysis</t>
        </is>
      </c>
      <c r="H33" s="62" t="n">
        <v>40</v>
      </c>
      <c r="I33" s="62" t="inlineStr">
        <is>
          <t>Intermediate</t>
        </is>
      </c>
      <c r="J33" s="61" t="inlineStr">
        <is>
          <t>Module 4.5</t>
        </is>
      </c>
      <c r="K33" s="61" t="inlineStr">
        <is>
          <t>Pandas</t>
        </is>
      </c>
      <c r="L33" s="61" t="inlineStr">
        <is>
          <t>customer_360_table.ipynb</t>
        </is>
      </c>
    </row>
    <row r="34" ht="32.25" customHeight="1" s="48">
      <c r="A34" s="59" t="inlineStr">
        <is>
          <t>Module 4</t>
        </is>
      </c>
      <c r="B34" s="60" t="inlineStr">
        <is>
          <t>Pandas for Data Analysis</t>
        </is>
      </c>
      <c r="C34" s="61" t="inlineStr">
        <is>
          <t>4.7 Pivot, Pivot Table, Melt &amp; Reshaping</t>
        </is>
      </c>
      <c r="D34" s="61" t="inlineStr">
        <is>
          <t>pivot vs pivot_table; aggfunc and fill_value; margins for totals; melt and wide-to-long conversion; stack and unstack; when tidy (long) beats wide format</t>
        </is>
      </c>
      <c r="E34" s="61" t="inlineStr">
        <is>
          <t>Build a month-by-product revenue pivot with row and column totals, then melt it back to tidy form for plotting</t>
        </is>
      </c>
      <c r="F34" s="61" t="inlineStr">
        <is>
          <t>Generating the cross-tab management dashboards stakeholders expect while keeping a tidy source for modelling</t>
        </is>
      </c>
      <c r="G34" s="61" t="inlineStr">
        <is>
          <t>Reshape data between wide and long forms to suit reporting or modelling needs</t>
        </is>
      </c>
      <c r="H34" s="62" t="n">
        <v>30</v>
      </c>
      <c r="I34" s="62" t="inlineStr">
        <is>
          <t>Intermediate</t>
        </is>
      </c>
      <c r="J34" s="61" t="inlineStr">
        <is>
          <t>Module 4.6</t>
        </is>
      </c>
      <c r="K34" s="61" t="inlineStr">
        <is>
          <t>Pandas</t>
        </is>
      </c>
      <c r="L34" s="61" t="inlineStr">
        <is>
          <t>pivot_and_reshape.ipynb</t>
        </is>
      </c>
    </row>
    <row r="35" ht="32.25" customHeight="1" s="48">
      <c r="A35" s="59" t="inlineStr">
        <is>
          <t>Module 4</t>
        </is>
      </c>
      <c r="B35" s="60" t="inlineStr">
        <is>
          <t>Pandas for Data Analysis</t>
        </is>
      </c>
      <c r="C35" s="61" t="inlineStr">
        <is>
          <t>4.8 Time Series Basics in Pandas</t>
        </is>
      </c>
      <c r="D35" s="61" t="inlineStr">
        <is>
          <t>to_datetime and format inference; the .dt accessor; DatetimeIndex; resample and frequency aliases; rolling and expanding windows; shift and lag features; date_range; timezone awareness basics</t>
        </is>
      </c>
      <c r="E35" s="61" t="inlineStr">
        <is>
          <t>Resample daily transactions to monthly totals, add a three-month rolling average and a month-over-month change column</t>
        </is>
      </c>
      <c r="F35" s="61" t="inlineStr">
        <is>
          <t>Detecting trend and seasonality in product usage before deciding whether to forecast</t>
        </is>
      </c>
      <c r="G35" s="61" t="inlineStr">
        <is>
          <t>Handle date-time data and build time-based aggregations and features</t>
        </is>
      </c>
      <c r="H35" s="62" t="n">
        <v>30</v>
      </c>
      <c r="I35" s="62" t="inlineStr">
        <is>
          <t>Intermediate</t>
        </is>
      </c>
      <c r="J35" s="61" t="inlineStr">
        <is>
          <t>Module 4.7</t>
        </is>
      </c>
      <c r="K35" s="61" t="inlineStr">
        <is>
          <t>Pandas</t>
        </is>
      </c>
      <c r="L35" s="61" t="inlineStr">
        <is>
          <t>timeseries_basics.ipynb</t>
        </is>
      </c>
    </row>
    <row r="36" ht="42.75" customHeight="1" s="48">
      <c r="A36" s="55" t="inlineStr">
        <is>
          <t>Module 5</t>
        </is>
      </c>
      <c r="B36" s="56" t="inlineStr">
        <is>
          <t>Data Cleaning, Wrangling &amp; Feature Engineering</t>
        </is>
      </c>
      <c r="C36" s="57" t="inlineStr">
        <is>
          <t>5.1 Data Profiling &amp; Data Quality Assessment</t>
        </is>
      </c>
      <c r="D36" s="57" t="inlineStr">
        <is>
          <t>Data quality dimensions: completeness, uniqueness, validity, consistency, accuracy, timeliness; profiling with info, describe, nunique, duplicated; automated profiling reports; defining a quality scorecard and acceptance thresholds</t>
        </is>
      </c>
      <c r="E36" s="57" t="inlineStr">
        <is>
          <t>Profile the churn dataset end to end and produce a data-quality scorecard flagging every column that fails a defined threshold</t>
        </is>
      </c>
      <c r="F36" s="57" t="inlineStr">
        <is>
          <t>A mandatory data-quality gate that a dataset must clear before any model build is approved</t>
        </is>
      </c>
      <c r="G36" s="57" t="inlineStr">
        <is>
          <t>Assess and document the quality of any dataset before analysis</t>
        </is>
      </c>
      <c r="H36" s="58" t="n">
        <v>30</v>
      </c>
      <c r="I36" s="58" t="inlineStr">
        <is>
          <t>Intermediate</t>
        </is>
      </c>
      <c r="J36" s="57" t="inlineStr">
        <is>
          <t>Module 4</t>
        </is>
      </c>
      <c r="K36" s="57" t="inlineStr">
        <is>
          <t>Pandas, ydata-profiling</t>
        </is>
      </c>
      <c r="L36" s="57" t="inlineStr">
        <is>
          <t>Data quality scorecard</t>
        </is>
      </c>
    </row>
    <row r="37" ht="42.75" customHeight="1" s="48">
      <c r="A37" s="55" t="inlineStr">
        <is>
          <t>Module 5</t>
        </is>
      </c>
      <c r="B37" s="56" t="inlineStr">
        <is>
          <t>Data Cleaning, Wrangling &amp; Feature Engineering</t>
        </is>
      </c>
      <c r="C37" s="57" t="inlineStr">
        <is>
          <t>5.2 Handling Missing Values</t>
        </is>
      </c>
      <c r="D37" s="57" t="inlineStr">
        <is>
          <t>Missingness mechanisms (MCAR, MAR, MNAR); isna and notna; dropna strategies and their cost; fillna with constants and statistics; ffill and bfill; interpolate; SimpleImputer and KNNImputer; missing-indicator features; imputing only on training data</t>
        </is>
      </c>
      <c r="E37" s="57" t="inlineStr">
        <is>
          <t>Apply three imputation strategies to the same columns, compare distribution shift and downstream model impact, and add missing-indicator flags</t>
        </is>
      </c>
      <c r="F37" s="57" t="inlineStr">
        <is>
          <t>Deciding how to treat blank income and tenure fields in a credit dataset without biasing the outcome</t>
        </is>
      </c>
      <c r="G37" s="57" t="inlineStr">
        <is>
          <t>Choose and justify a missing-value strategy rather than defaulting to dropna</t>
        </is>
      </c>
      <c r="H37" s="58" t="n">
        <v>35</v>
      </c>
      <c r="I37" s="58" t="inlineStr">
        <is>
          <t>Intermediate</t>
        </is>
      </c>
      <c r="J37" s="57" t="inlineStr">
        <is>
          <t>Module 5.1</t>
        </is>
      </c>
      <c r="K37" s="57" t="inlineStr">
        <is>
          <t>Pandas, scikit-learn</t>
        </is>
      </c>
      <c r="L37" s="57" t="inlineStr">
        <is>
          <t>imputation_comparison.ipynb</t>
        </is>
      </c>
    </row>
    <row r="38" ht="42.75" customHeight="1" s="48">
      <c r="A38" s="55" t="inlineStr">
        <is>
          <t>Module 5</t>
        </is>
      </c>
      <c r="B38" s="56" t="inlineStr">
        <is>
          <t>Data Cleaning, Wrangling &amp; Feature Engineering</t>
        </is>
      </c>
      <c r="C38" s="57" t="inlineStr">
        <is>
          <t>5.3 Duplicates, Outliers &amp; Inconsistent Data</t>
        </is>
      </c>
      <c r="D38" s="57" t="inlineStr">
        <is>
          <t>Exact vs fuzzy duplicates; duplicated and drop_duplicates with subset and keep; outlier detection via IQR, z-score and Isolation Forest; capping and winsorisation; standardising categories, casing and whitespace; unit and currency inconsistency</t>
        </is>
      </c>
      <c r="E38" s="57" t="inlineStr">
        <is>
          <t>Detect and treat outliers in monthly charges and tenure using IQR and z-score, then reconcile inconsistent category labels</t>
        </is>
      </c>
      <c r="F38" s="57" t="inlineStr">
        <is>
          <t>Cleaning a merged customer file where three source systems spelled the same segment four different ways</t>
        </is>
      </c>
      <c r="G38" s="57" t="inlineStr">
        <is>
          <t>Detect and remediate duplicates, outliers and inconsistent values defensibly</t>
        </is>
      </c>
      <c r="H38" s="58" t="n">
        <v>30</v>
      </c>
      <c r="I38" s="58" t="inlineStr">
        <is>
          <t>Intermediate</t>
        </is>
      </c>
      <c r="J38" s="57" t="inlineStr">
        <is>
          <t>Module 5.2</t>
        </is>
      </c>
      <c r="K38" s="57" t="inlineStr">
        <is>
          <t>Pandas, NumPy, SciPy, scikit-learn</t>
        </is>
      </c>
      <c r="L38" s="57" t="inlineStr">
        <is>
          <t>cleaning_report.ipynb</t>
        </is>
      </c>
    </row>
    <row r="39" ht="42.75" customHeight="1" s="48">
      <c r="A39" s="55" t="inlineStr">
        <is>
          <t>Module 5</t>
        </is>
      </c>
      <c r="B39" s="56" t="inlineStr">
        <is>
          <t>Data Cleaning, Wrangling &amp; Feature Engineering</t>
        </is>
      </c>
      <c r="C39" s="57" t="inlineStr">
        <is>
          <t>5.4 Encoding Categorical Variables</t>
        </is>
      </c>
      <c r="D39" s="57" t="inlineStr">
        <is>
          <t>Nominal vs ordinal categories; label encoding and its ordinality trap; one-hot encoding and get_dummies; OrdinalEncoder; frequency and target encoding; high-cardinality strategies; the dummy variable trap; handling unseen categories at inference</t>
        </is>
      </c>
      <c r="E39" s="57" t="inlineStr">
        <is>
          <t>Encode all categorical features with get_dummies and OneHotEncoder, then apply target encoding to a high-cardinality column and compare feature counts</t>
        </is>
      </c>
      <c r="F39" s="57" t="inlineStr">
        <is>
          <t>Encoding thousands of merchant codes without exploding a model into tens of thousands of columns</t>
        </is>
      </c>
      <c r="G39" s="57" t="inlineStr">
        <is>
          <t>Convert categorical data into model-ready numeric form without introducing false structure</t>
        </is>
      </c>
      <c r="H39" s="58" t="n">
        <v>30</v>
      </c>
      <c r="I39" s="58" t="inlineStr">
        <is>
          <t>Intermediate</t>
        </is>
      </c>
      <c r="J39" s="57" t="inlineStr">
        <is>
          <t>Module 5.3</t>
        </is>
      </c>
      <c r="K39" s="57" t="inlineStr">
        <is>
          <t>Pandas, scikit-learn, category_encoders</t>
        </is>
      </c>
      <c r="L39" s="57" t="inlineStr">
        <is>
          <t>encoding_notebook.ipynb</t>
        </is>
      </c>
    </row>
    <row r="40" ht="42.75" customHeight="1" s="48">
      <c r="A40" s="55" t="inlineStr">
        <is>
          <t>Module 5</t>
        </is>
      </c>
      <c r="B40" s="56" t="inlineStr">
        <is>
          <t>Data Cleaning, Wrangling &amp; Feature Engineering</t>
        </is>
      </c>
      <c r="C40" s="57" t="inlineStr">
        <is>
          <t>5.5 Scaling, Transformation &amp; Skew Handling</t>
        </is>
      </c>
      <c r="D40" s="57" t="inlineStr">
        <is>
          <t>Standardisation vs normalisation; StandardScaler, MinMaxScaler, RobustScaler; log, square-root and Box-Cox transforms; skewness and kurtosis; which algorithms need scaling (distance and gradient based) and which do not (tree based)</t>
        </is>
      </c>
      <c r="E40" s="57" t="inlineStr">
        <is>
          <t>Scale the numeric features with three scalers, visualise the distribution change, and log-transform a skewed income column</t>
        </is>
      </c>
      <c r="F40" s="57" t="inlineStr">
        <is>
          <t>Preparing features for a distance-based segmentation model where unscaled income would dominate every cluster</t>
        </is>
      </c>
      <c r="G40" s="57" t="inlineStr">
        <is>
          <t>Apply the right transformation for the algorithm being used and explain why</t>
        </is>
      </c>
      <c r="H40" s="58" t="n">
        <v>30</v>
      </c>
      <c r="I40" s="58" t="inlineStr">
        <is>
          <t>Intermediate</t>
        </is>
      </c>
      <c r="J40" s="57" t="inlineStr">
        <is>
          <t>Module 5.4</t>
        </is>
      </c>
      <c r="K40" s="57" t="inlineStr">
        <is>
          <t>Pandas, scikit-learn, SciPy</t>
        </is>
      </c>
      <c r="L40" s="57" t="inlineStr">
        <is>
          <t>scaling_transformations.ipynb</t>
        </is>
      </c>
    </row>
    <row r="41" ht="42.75" customHeight="1" s="48">
      <c r="A41" s="55" t="inlineStr">
        <is>
          <t>Module 5</t>
        </is>
      </c>
      <c r="B41" s="56" t="inlineStr">
        <is>
          <t>Data Cleaning, Wrangling &amp; Feature Engineering</t>
        </is>
      </c>
      <c r="C41" s="57" t="inlineStr">
        <is>
          <t>5.6 Feature Engineering &amp; Feature Selection</t>
        </is>
      </c>
      <c r="D41" s="57" t="inlineStr">
        <is>
          <t>Domain-driven feature creation; binning and discretisation; date-part and recency features; ratio, difference and interaction features; aggregation features from related tables; filter, wrapper and embedded selection; RFE; correlation filtering; multicollinearity and VIF</t>
        </is>
      </c>
      <c r="E41" s="57" t="inlineStr">
        <is>
          <t>Engineer at least eight new features for the churn dataset, then reduce the feature set with correlation filtering and RFE and measure the effect on a baseline model</t>
        </is>
      </c>
      <c r="F41" s="57" t="inlineStr">
        <is>
          <t>Turning raw transaction history into behavioural features (recency, frequency, monetary) that drive a retention model</t>
        </is>
      </c>
      <c r="G41" s="57" t="inlineStr">
        <is>
          <t>Create informative features and reduce them to a defensible modelling set</t>
        </is>
      </c>
      <c r="H41" s="58" t="n">
        <v>35</v>
      </c>
      <c r="I41" s="58" t="inlineStr">
        <is>
          <t>Advanced</t>
        </is>
      </c>
      <c r="J41" s="57" t="inlineStr">
        <is>
          <t>Module 5.5</t>
        </is>
      </c>
      <c r="K41" s="57" t="inlineStr">
        <is>
          <t>Pandas, scikit-learn, statsmodels</t>
        </is>
      </c>
      <c r="L41" s="57" t="inlineStr">
        <is>
          <t>Engineered feature set + selection log</t>
        </is>
      </c>
    </row>
    <row r="42" ht="32.25" customHeight="1" s="48">
      <c r="A42" s="55" t="inlineStr">
        <is>
          <t>Module 5</t>
        </is>
      </c>
      <c r="B42" s="56" t="inlineStr">
        <is>
          <t>Data Cleaning, Wrangling &amp; Feature Engineering</t>
        </is>
      </c>
      <c r="C42" s="57" t="inlineStr">
        <is>
          <t>5.7 Data Leakage &amp; Reproducibility</t>
        </is>
      </c>
      <c r="D42" s="57" t="inlineStr">
        <is>
          <t>Target leakage vs train-test contamination; leaky features and future information; fitting transformers on training data only; random_state and deterministic pipelines; data and code versioning; documenting transformations</t>
        </is>
      </c>
      <c r="E42" s="57" t="inlineStr">
        <is>
          <t>Review a deliberately broken notebook, identify three leakage defects, fix them and quantify the inflated score that leakage produced</t>
        </is>
      </c>
      <c r="F42" s="57" t="inlineStr">
        <is>
          <t>Post-mortem of a model that scored 0.97 in development and 0.61 in production because scaling was fitted on the full dataset</t>
        </is>
      </c>
      <c r="G42" s="57" t="inlineStr">
        <is>
          <t>Recognise and prevent leakage, and make an analysis reproducible</t>
        </is>
      </c>
      <c r="H42" s="58" t="n">
        <v>20</v>
      </c>
      <c r="I42" s="58" t="inlineStr">
        <is>
          <t>Advanced</t>
        </is>
      </c>
      <c r="J42" s="57" t="inlineStr">
        <is>
          <t>Module 5.6</t>
        </is>
      </c>
      <c r="K42" s="57" t="inlineStr">
        <is>
          <t>Pandas, scikit-learn</t>
        </is>
      </c>
      <c r="L42" s="57" t="inlineStr">
        <is>
          <t>Leakage audit checklist</t>
        </is>
      </c>
    </row>
    <row r="43" ht="32.25" customHeight="1" s="48">
      <c r="A43" s="59" t="inlineStr">
        <is>
          <t>Module 6</t>
        </is>
      </c>
      <c r="B43" s="60" t="inlineStr">
        <is>
          <t>Data Visualisation &amp; Exploratory Data Analysis</t>
        </is>
      </c>
      <c r="C43" s="61" t="inlineStr">
        <is>
          <t>6.1 Visualisation Principles &amp; Matplotlib Fundamentals</t>
        </is>
      </c>
      <c r="D43" s="61" t="inlineStr">
        <is>
          <t>Purpose of a chart; chart-type selection by question; Figure and Axes objects; pyplot state machine vs object-oriented API; subplots; titles, labels, legends, ticks, annotations; colour and accessibility; saving publication-quality figures</t>
        </is>
      </c>
      <c r="E43" s="61" t="inlineStr">
        <is>
          <t>Build a two-by-two subplot dashboard with shared styling, annotate a key point, and export it at presentation resolution</t>
        </is>
      </c>
      <c r="F43" s="61" t="inlineStr">
        <is>
          <t>Producing the standard figure template used across an organisation's analytics reports</t>
        </is>
      </c>
      <c r="G43" s="61" t="inlineStr">
        <is>
          <t>Construct and control any Matplotlib figure rather than accepting defaults</t>
        </is>
      </c>
      <c r="H43" s="62" t="n">
        <v>30</v>
      </c>
      <c r="I43" s="62" t="inlineStr">
        <is>
          <t>Beginner</t>
        </is>
      </c>
      <c r="J43" s="61" t="inlineStr">
        <is>
          <t>Module 4</t>
        </is>
      </c>
      <c r="K43" s="61" t="inlineStr">
        <is>
          <t>Matplotlib</t>
        </is>
      </c>
      <c r="L43" s="61" t="inlineStr">
        <is>
          <t>matplotlib_dashboard.png + notebook</t>
        </is>
      </c>
    </row>
    <row r="44" ht="32.25" customHeight="1" s="48">
      <c r="A44" s="59" t="inlineStr">
        <is>
          <t>Module 6</t>
        </is>
      </c>
      <c r="B44" s="60" t="inlineStr">
        <is>
          <t>Data Visualisation &amp; Exploratory Data Analysis</t>
        </is>
      </c>
      <c r="C44" s="61" t="inlineStr">
        <is>
          <t>6.2 Distribution Analysis - Histogram, KDE, Box &amp; Violin Plots</t>
        </is>
      </c>
      <c r="D44" s="61" t="inlineStr">
        <is>
          <t>Distribution shape, central tendency and spread; bin-width sensitivity; kernel density estimation; quartiles, IQR and whiskers; reading a box plot for outliers; violin plots for multi-modal data; skew and kurtosis interpretation</t>
        </is>
      </c>
      <c r="E44" s="61" t="inlineStr">
        <is>
          <t>Analyse tenure, monthly charges and total charges with histograms, KDE and box plots grouped by churn status</t>
        </is>
      </c>
      <c r="F44" s="61" t="inlineStr">
        <is>
          <t>Understanding whether high-value customers behave differently before designing a retention offer</t>
        </is>
      </c>
      <c r="G44" s="61" t="inlineStr">
        <is>
          <t>Read and communicate the distribution of any variable</t>
        </is>
      </c>
      <c r="H44" s="62" t="n">
        <v>30</v>
      </c>
      <c r="I44" s="62" t="inlineStr">
        <is>
          <t>Beginner</t>
        </is>
      </c>
      <c r="J44" s="61" t="inlineStr">
        <is>
          <t>Module 6.1</t>
        </is>
      </c>
      <c r="K44" s="61" t="inlineStr">
        <is>
          <t>Matplotlib, Seaborn</t>
        </is>
      </c>
      <c r="L44" s="61" t="inlineStr">
        <is>
          <t>distribution_analysis.ipynb</t>
        </is>
      </c>
    </row>
    <row r="45" ht="32.25" customHeight="1" s="48">
      <c r="A45" s="59" t="inlineStr">
        <is>
          <t>Module 6</t>
        </is>
      </c>
      <c r="B45" s="60" t="inlineStr">
        <is>
          <t>Data Visualisation &amp; Exploratory Data Analysis</t>
        </is>
      </c>
      <c r="C45" s="61" t="inlineStr">
        <is>
          <t>6.3 Relationship Analysis - Scatter, Line, Regression &amp; Pair Plots</t>
        </is>
      </c>
      <c r="D45" s="61" t="inlineStr">
        <is>
          <t>Bivariate relationships; linear vs non-linear patterns; correlation is not causation; encoding a third variable with hue, size and style; regplot and trend lines; pairplot for rapid multivariate scanning; overplotting remedies</t>
        </is>
      </c>
      <c r="E45" s="61" t="inlineStr">
        <is>
          <t>Explore numeric feature relationships with a scatter matrix and pairplot coloured by the target, and fit a visual trend line</t>
        </is>
      </c>
      <c r="F45" s="61" t="inlineStr">
        <is>
          <t>Spotting that two engineered features are near-duplicates before both enter the model</t>
        </is>
      </c>
      <c r="G45" s="61" t="inlineStr">
        <is>
          <t>Identify and interpret relationships between variables visually</t>
        </is>
      </c>
      <c r="H45" s="62" t="n">
        <v>30</v>
      </c>
      <c r="I45" s="62" t="inlineStr">
        <is>
          <t>Intermediate</t>
        </is>
      </c>
      <c r="J45" s="61" t="inlineStr">
        <is>
          <t>Module 6.2</t>
        </is>
      </c>
      <c r="K45" s="61" t="inlineStr">
        <is>
          <t>Matplotlib, Seaborn</t>
        </is>
      </c>
      <c r="L45" s="61" t="inlineStr">
        <is>
          <t>relationship_analysis.ipynb</t>
        </is>
      </c>
    </row>
    <row r="46" ht="32.25" customHeight="1" s="48">
      <c r="A46" s="59" t="inlineStr">
        <is>
          <t>Module 6</t>
        </is>
      </c>
      <c r="B46" s="60" t="inlineStr">
        <is>
          <t>Data Visualisation &amp; Exploratory Data Analysis</t>
        </is>
      </c>
      <c r="C46" s="61" t="inlineStr">
        <is>
          <t>6.4 Categorical &amp; Comparison Plots</t>
        </is>
      </c>
      <c r="D46" s="61" t="inlineStr">
        <is>
          <t>Bar, count, grouped and stacked bar charts; ordering categories meaningfully; aggregation inside plotting functions; error bars and confidence intervals; part-to-whole pitfalls; when a table beats a chart</t>
        </is>
      </c>
      <c r="E46" s="61" t="inlineStr">
        <is>
          <t>Chart churn rate by contract type, payment method and internet service, ordering bars by magnitude and annotating values</t>
        </is>
      </c>
      <c r="F46" s="61" t="inlineStr">
        <is>
          <t>The single slide that shows leadership which customer segment is leaking revenue fastest</t>
        </is>
      </c>
      <c r="G46" s="61" t="inlineStr">
        <is>
          <t>Compare categories accurately and without visual distortion</t>
        </is>
      </c>
      <c r="H46" s="62" t="n">
        <v>25</v>
      </c>
      <c r="I46" s="62" t="inlineStr">
        <is>
          <t>Beginner</t>
        </is>
      </c>
      <c r="J46" s="61" t="inlineStr">
        <is>
          <t>Module 6.3</t>
        </is>
      </c>
      <c r="K46" s="61" t="inlineStr">
        <is>
          <t>Matplotlib, Seaborn</t>
        </is>
      </c>
      <c r="L46" s="61" t="inlineStr">
        <is>
          <t>categorical_analysis.ipynb</t>
        </is>
      </c>
    </row>
    <row r="47" ht="32.25" customHeight="1" s="48">
      <c r="A47" s="59" t="inlineStr">
        <is>
          <t>Module 6</t>
        </is>
      </c>
      <c r="B47" s="60" t="inlineStr">
        <is>
          <t>Data Visualisation &amp; Exploratory Data Analysis</t>
        </is>
      </c>
      <c r="C47" s="61" t="inlineStr">
        <is>
          <t>6.5 Correlation Analysis &amp; Heatmaps</t>
        </is>
      </c>
      <c r="D47" s="61" t="inlineStr">
        <is>
          <t>Pearson vs Spearman vs point-biserial; correlation matrix construction; annotated heatmaps; masking the upper triangle; multicollinearity detection; correlation with the target vs between features; limits of linear correlation</t>
        </is>
      </c>
      <c r="E47" s="61" t="inlineStr">
        <is>
          <t>Build an annotated correlation heatmap, mask redundancy, and drop one of each highly correlated pair with justification</t>
        </is>
      </c>
      <c r="F47" s="61" t="inlineStr">
        <is>
          <t>Removing redundant predictors before a regulated model that must explain every retained variable</t>
        </is>
      </c>
      <c r="G47" s="61" t="inlineStr">
        <is>
          <t>Quantify and visualise feature relationships and act on redundancy</t>
        </is>
      </c>
      <c r="H47" s="62" t="n">
        <v>30</v>
      </c>
      <c r="I47" s="62" t="inlineStr">
        <is>
          <t>Intermediate</t>
        </is>
      </c>
      <c r="J47" s="61" t="inlineStr">
        <is>
          <t>Module 6.4</t>
        </is>
      </c>
      <c r="K47" s="61" t="inlineStr">
        <is>
          <t>Pandas, Seaborn, SciPy</t>
        </is>
      </c>
      <c r="L47" s="61" t="inlineStr">
        <is>
          <t>correlation_heatmap.ipynb</t>
        </is>
      </c>
    </row>
    <row r="48" ht="32.25" customHeight="1" s="48">
      <c r="A48" s="59" t="inlineStr">
        <is>
          <t>Module 6</t>
        </is>
      </c>
      <c r="B48" s="60" t="inlineStr">
        <is>
          <t>Data Visualisation &amp; Exploratory Data Analysis</t>
        </is>
      </c>
      <c r="C48" s="61" t="inlineStr">
        <is>
          <t>6.6 Advanced Seaborn - Facets, Themes &amp; Styling</t>
        </is>
      </c>
      <c r="D48" s="61" t="inlineStr">
        <is>
          <t>Figure-level vs axes-level functions; FacetGrid, catplot, relplot and displot; palettes and colour semantics; set_theme, context and style; combining Seaborn with Matplotlib customisation; consistent corporate styling</t>
        </is>
      </c>
      <c r="E48" s="61" t="inlineStr">
        <is>
          <t>Build a faceted analysis of churn by region and tenure band, apply a corporate palette, and reuse the theme across all charts</t>
        </is>
      </c>
      <c r="F48" s="61" t="inlineStr">
        <is>
          <t>Enforcing one visual identity across every deck an analytics team produces</t>
        </is>
      </c>
      <c r="G48" s="61" t="inlineStr">
        <is>
          <t>Produce consistent, faceted, presentation-grade visuals efficiently</t>
        </is>
      </c>
      <c r="H48" s="62" t="n">
        <v>25</v>
      </c>
      <c r="I48" s="62" t="inlineStr">
        <is>
          <t>Intermediate</t>
        </is>
      </c>
      <c r="J48" s="61" t="inlineStr">
        <is>
          <t>Module 6.5</t>
        </is>
      </c>
      <c r="K48" s="61" t="inlineStr">
        <is>
          <t>Seaborn, Matplotlib</t>
        </is>
      </c>
      <c r="L48" s="61" t="inlineStr">
        <is>
          <t>Reusable Seaborn theme + faceted charts</t>
        </is>
      </c>
    </row>
    <row r="49" ht="42.75" customHeight="1" s="48">
      <c r="A49" s="59" t="inlineStr">
        <is>
          <t>Module 6</t>
        </is>
      </c>
      <c r="B49" s="60" t="inlineStr">
        <is>
          <t>Data Visualisation &amp; Exploratory Data Analysis</t>
        </is>
      </c>
      <c r="C49" s="61" t="inlineStr">
        <is>
          <t>6.7 Structured EDA Workflow &amp; Data Storytelling</t>
        </is>
      </c>
      <c r="D49" s="61" t="inlineStr">
        <is>
          <t>A repeatable EDA sequence: univariate, bivariate, multivariate; hypothesis-driven exploration; separating observation from inference; quantifying every claim; structuring findings for a business audience; executive summary discipline</t>
        </is>
      </c>
      <c r="E49" s="61" t="inlineStr">
        <is>
          <t>Complete a full EDA on the capstone dataset and write ten quantified business insights with a supporting chart for each</t>
        </is>
      </c>
      <c r="F49" s="61" t="inlineStr">
        <is>
          <t>The EDA readout that decides whether a modelling project gets funded</t>
        </is>
      </c>
      <c r="G49" s="61" t="inlineStr">
        <is>
          <t>Run a disciplined EDA and translate findings into business language</t>
        </is>
      </c>
      <c r="H49" s="62" t="n">
        <v>40</v>
      </c>
      <c r="I49" s="62" t="inlineStr">
        <is>
          <t>Advanced</t>
        </is>
      </c>
      <c r="J49" s="61" t="inlineStr">
        <is>
          <t>Modules 6.1-6.6</t>
        </is>
      </c>
      <c r="K49" s="61" t="inlineStr">
        <is>
          <t>Pandas, Matplotlib, Seaborn</t>
        </is>
      </c>
      <c r="L49" s="61" t="inlineStr">
        <is>
          <t>EDA report notebook + insight summary</t>
        </is>
      </c>
    </row>
    <row r="50" ht="42.75" customHeight="1" s="48">
      <c r="A50" s="55" t="inlineStr">
        <is>
          <t>Module 7</t>
        </is>
      </c>
      <c r="B50" s="56" t="inlineStr">
        <is>
          <t>Statistics &amp; Machine Learning Theory</t>
        </is>
      </c>
      <c r="C50" s="57" t="inlineStr">
        <is>
          <t>7.1 Statistics Essentials for Machine Learning</t>
        </is>
      </c>
      <c r="D50" s="57" t="inlineStr">
        <is>
          <t>Mean, median, mode and when each misleads; variance, standard deviation, range and IQR; normal and skewed distributions; the central limit theorem; sampling and sampling bias; correlation and covariance; hypothesis testing, null hypothesis, p-value and significance; confidence intervals</t>
        </is>
      </c>
      <c r="E50" s="57" t="inlineStr">
        <is>
          <t>Compute and interpret descriptive statistics on the dataset, run a t-test and a chi-square test between features and the target, and interpret the p-values in business terms</t>
        </is>
      </c>
      <c r="F50" s="57" t="inlineStr">
        <is>
          <t>Proving statistically that an observed difference between two customer segments is real and not sampling noise</t>
        </is>
      </c>
      <c r="G50" s="57" t="inlineStr">
        <is>
          <t>Apply the statistical concepts that underpin model assumptions and evaluation</t>
        </is>
      </c>
      <c r="H50" s="58" t="n">
        <v>35</v>
      </c>
      <c r="I50" s="58" t="inlineStr">
        <is>
          <t>Intermediate</t>
        </is>
      </c>
      <c r="J50" s="57" t="inlineStr">
        <is>
          <t>Modules 4-6</t>
        </is>
      </c>
      <c r="K50" s="57" t="inlineStr">
        <is>
          <t>Pandas, NumPy, SciPy, statsmodels</t>
        </is>
      </c>
      <c r="L50" s="57" t="inlineStr">
        <is>
          <t>statistics_notebook.ipynb</t>
        </is>
      </c>
    </row>
    <row r="51" ht="42.75" customHeight="1" s="48">
      <c r="A51" s="55" t="inlineStr">
        <is>
          <t>Module 7</t>
        </is>
      </c>
      <c r="B51" s="56" t="inlineStr">
        <is>
          <t>Statistics &amp; Machine Learning Theory</t>
        </is>
      </c>
      <c r="C51" s="57" t="inlineStr">
        <is>
          <t>7.2 AI vs Machine Learning vs Deep Learning vs Data Science</t>
        </is>
      </c>
      <c r="D51" s="57" t="inlineStr">
        <is>
          <t>Definitions and the containment hierarchy; rule-based systems vs learned systems; narrow vs general AI; where deep learning genuinely helps; where generative AI fits; the cost, data and maintenance implications of choosing ML; when not to use ML</t>
        </is>
      </c>
      <c r="E51" s="57" t="inlineStr">
        <is>
          <t>Classify ten real business problems as rules, classical ML, deep learning or generative AI, and justify each decision</t>
        </is>
      </c>
      <c r="F51" s="57" t="inlineStr">
        <is>
          <t>Advising a steering committee on which of ten proposed use cases actually warrant an ML investment</t>
        </is>
      </c>
      <c r="G51" s="57" t="inlineStr">
        <is>
          <t>Position AI, ML, DL and analytics correctly and challenge inappropriate ML proposals</t>
        </is>
      </c>
      <c r="H51" s="58" t="n">
        <v>25</v>
      </c>
      <c r="I51" s="58" t="inlineStr">
        <is>
          <t>Beginner</t>
        </is>
      </c>
      <c r="J51" s="57" t="inlineStr">
        <is>
          <t>None</t>
        </is>
      </c>
      <c r="K51" s="57" t="inlineStr">
        <is>
          <t>Concept session</t>
        </is>
      </c>
      <c r="L51" s="57" t="inlineStr">
        <is>
          <t>Use-case classification matrix</t>
        </is>
      </c>
    </row>
    <row r="52" ht="42.75" customHeight="1" s="48">
      <c r="A52" s="55" t="inlineStr">
        <is>
          <t>Module 7</t>
        </is>
      </c>
      <c r="B52" s="56" t="inlineStr">
        <is>
          <t>Statistics &amp; Machine Learning Theory</t>
        </is>
      </c>
      <c r="C52" s="57" t="inlineStr">
        <is>
          <t>7.3 Types of Machine Learning</t>
        </is>
      </c>
      <c r="D52" s="57" t="inlineStr">
        <is>
          <t>Supervised learning (regression and classification); unsupervised learning (clustering, dimensionality reduction, association); semi-supervised learning; reinforcement learning (agent, environment, state, action, reward); self-supervised learning; an algorithm map by problem type</t>
        </is>
      </c>
      <c r="E52" s="57" t="inlineStr">
        <is>
          <t>Map a set of enterprise use cases to a learning paradigm and shortlist two candidate algorithms for each</t>
        </is>
      </c>
      <c r="F52" s="57" t="inlineStr">
        <is>
          <t>Selecting the right family of algorithms at solution-design stage instead of during implementation</t>
        </is>
      </c>
      <c r="G52" s="57" t="inlineStr">
        <is>
          <t>Choose the correct learning paradigm and candidate algorithms for a given problem</t>
        </is>
      </c>
      <c r="H52" s="58" t="n">
        <v>30</v>
      </c>
      <c r="I52" s="58" t="inlineStr">
        <is>
          <t>Beginner</t>
        </is>
      </c>
      <c r="J52" s="57" t="inlineStr">
        <is>
          <t>Module 7.2</t>
        </is>
      </c>
      <c r="K52" s="57" t="inlineStr">
        <is>
          <t>Concept session</t>
        </is>
      </c>
      <c r="L52" s="57" t="inlineStr">
        <is>
          <t>Algorithm selection map</t>
        </is>
      </c>
    </row>
    <row r="53" ht="42.75" customHeight="1" s="48">
      <c r="A53" s="55" t="inlineStr">
        <is>
          <t>Module 7</t>
        </is>
      </c>
      <c r="B53" s="56" t="inlineStr">
        <is>
          <t>Statistics &amp; Machine Learning Theory</t>
        </is>
      </c>
      <c r="C53" s="57" t="inlineStr">
        <is>
          <t>7.4 ML Project Lifecycle &amp; Problem Framing</t>
        </is>
      </c>
      <c r="D53" s="57" t="inlineStr">
        <is>
          <t>CRISP-DM and the modern ML lifecycle; translating a business problem into an ML problem; defining the target variable and observation window; choosing a success metric tied to business value; baseline definition; feasibility and data-availability assessment; stakeholder alignment</t>
        </is>
      </c>
      <c r="E53" s="57" t="inlineStr">
        <is>
          <t>Write a complete problem statement for the capstone: business objective, target definition, prediction window, success metric and baseline</t>
        </is>
      </c>
      <c r="F53" s="57" t="inlineStr">
        <is>
          <t>The one-page project charter that a data science team signs off before writing any code</t>
        </is>
      </c>
      <c r="G53" s="57" t="inlineStr">
        <is>
          <t>Frame a business problem as a well-posed, measurable ML problem</t>
        </is>
      </c>
      <c r="H53" s="58" t="n">
        <v>25</v>
      </c>
      <c r="I53" s="58" t="inlineStr">
        <is>
          <t>Intermediate</t>
        </is>
      </c>
      <c r="J53" s="57" t="inlineStr">
        <is>
          <t>Module 7.3</t>
        </is>
      </c>
      <c r="K53" s="57" t="inlineStr">
        <is>
          <t>Concept session, template</t>
        </is>
      </c>
      <c r="L53" s="57" t="inlineStr">
        <is>
          <t>Project charter / problem statement</t>
        </is>
      </c>
    </row>
    <row r="54" ht="42.75" customHeight="1" s="48">
      <c r="A54" s="55" t="inlineStr">
        <is>
          <t>Module 7</t>
        </is>
      </c>
      <c r="B54" s="56" t="inlineStr">
        <is>
          <t>Statistics &amp; Machine Learning Theory</t>
        </is>
      </c>
      <c r="C54" s="57" t="inlineStr">
        <is>
          <t>7.5 Train / Test Split, Validation Strategy &amp; Cross Validation</t>
        </is>
      </c>
      <c r="D54" s="57" t="inlineStr">
        <is>
          <t>Why holdout is necessary; train, validation and test roles; train_test_split with stratification; k-fold and stratified k-fold; leave-one-out; time-series split and why random splits break temporal data; group splits for leaked entities; variance across folds</t>
        </is>
      </c>
      <c r="E54" s="57" t="inlineStr">
        <is>
          <t>Implement stratified k-fold cross validation, compare fold-level scores against a single holdout, and demonstrate why a random split fails on time-ordered data</t>
        </is>
      </c>
      <c r="F54" s="57" t="inlineStr">
        <is>
          <t>Designing a validation strategy for a model that will be scored on next quarter's customers, not a random sample</t>
        </is>
      </c>
      <c r="G54" s="57" t="inlineStr">
        <is>
          <t>Design a validation strategy appropriate to the data structure</t>
        </is>
      </c>
      <c r="H54" s="58" t="n">
        <v>30</v>
      </c>
      <c r="I54" s="58" t="inlineStr">
        <is>
          <t>Intermediate</t>
        </is>
      </c>
      <c r="J54" s="57" t="inlineStr">
        <is>
          <t>Module 7.4</t>
        </is>
      </c>
      <c r="K54" s="57" t="inlineStr">
        <is>
          <t>scikit-learn</t>
        </is>
      </c>
      <c r="L54" s="57" t="inlineStr">
        <is>
          <t>cross_validation.ipynb</t>
        </is>
      </c>
    </row>
    <row r="55" ht="42.75" customHeight="1" s="48">
      <c r="A55" s="55" t="inlineStr">
        <is>
          <t>Module 7</t>
        </is>
      </c>
      <c r="B55" s="56" t="inlineStr">
        <is>
          <t>Statistics &amp; Machine Learning Theory</t>
        </is>
      </c>
      <c r="C55" s="57" t="inlineStr">
        <is>
          <t>7.6 Bias, Variance, Overfitting &amp; Underfitting</t>
        </is>
      </c>
      <c r="D55" s="57" t="inlineStr">
        <is>
          <t>Bias-variance decomposition; model complexity vs generalisation error; symptoms of overfitting and underfitting; learning curves and validation curves; regularisation (L1, L2, ElasticNet); early stopping; the effect of more data; the no-free-lunch idea</t>
        </is>
      </c>
      <c r="E55" s="57" t="inlineStr">
        <is>
          <t>Train deliberately underfit and overfit models on the same data, plot learning and validation curves, and apply regularisation to correct the overfit case</t>
        </is>
      </c>
      <c r="F55" s="57" t="inlineStr">
        <is>
          <t>Diagnosing why a model that memorised the training set is failing on live traffic</t>
        </is>
      </c>
      <c r="G55" s="57" t="inlineStr">
        <is>
          <t>Diagnose fit problems from evidence and apply the right correction</t>
        </is>
      </c>
      <c r="H55" s="58" t="n">
        <v>35</v>
      </c>
      <c r="I55" s="58" t="inlineStr">
        <is>
          <t>Advanced</t>
        </is>
      </c>
      <c r="J55" s="57" t="inlineStr">
        <is>
          <t>Module 7.5</t>
        </is>
      </c>
      <c r="K55" s="57" t="inlineStr">
        <is>
          <t>scikit-learn, Matplotlib</t>
        </is>
      </c>
      <c r="L55" s="57" t="inlineStr">
        <is>
          <t>Learning curve analysis notebook</t>
        </is>
      </c>
    </row>
    <row r="56" ht="32.25" customHeight="1" s="48">
      <c r="A56" s="55" t="inlineStr">
        <is>
          <t>Module 7</t>
        </is>
      </c>
      <c r="B56" s="56" t="inlineStr">
        <is>
          <t>Statistics &amp; Machine Learning Theory</t>
        </is>
      </c>
      <c r="C56" s="57" t="inlineStr">
        <is>
          <t>7.7 Evaluation Metrics - Regression</t>
        </is>
      </c>
      <c r="D56" s="57" t="inlineStr">
        <is>
          <t>MAE, MSE, RMSE and their units and outlier sensitivity; R-squared and adjusted R-squared; MAPE and its divide-by-zero weakness; residual plots and homoscedasticity; choosing a metric that matches business cost</t>
        </is>
      </c>
      <c r="E56" s="57" t="inlineStr">
        <is>
          <t>Evaluate a regression model with every metric, plot residuals, and explain to a business audience which metric should govern the decision</t>
        </is>
      </c>
      <c r="F56" s="57" t="inlineStr">
        <is>
          <t>Selecting RMSE over MAE for a pricing model where large errors are disproportionately expensive</t>
        </is>
      </c>
      <c r="G56" s="57" t="inlineStr">
        <is>
          <t>Evaluate regression models and defend the choice of metric</t>
        </is>
      </c>
      <c r="H56" s="58" t="n">
        <v>25</v>
      </c>
      <c r="I56" s="58" t="inlineStr">
        <is>
          <t>Intermediate</t>
        </is>
      </c>
      <c r="J56" s="57" t="inlineStr">
        <is>
          <t>Module 7.6</t>
        </is>
      </c>
      <c r="K56" s="57" t="inlineStr">
        <is>
          <t>scikit-learn, Matplotlib</t>
        </is>
      </c>
      <c r="L56" s="57" t="inlineStr">
        <is>
          <t>regression_metrics.ipynb</t>
        </is>
      </c>
    </row>
    <row r="57" ht="53.25" customHeight="1" s="48">
      <c r="A57" s="55" t="inlineStr">
        <is>
          <t>Module 7</t>
        </is>
      </c>
      <c r="B57" s="56" t="inlineStr">
        <is>
          <t>Statistics &amp; Machine Learning Theory</t>
        </is>
      </c>
      <c r="C57" s="57" t="inlineStr">
        <is>
          <t>7.8 Evaluation Metrics - Classification</t>
        </is>
      </c>
      <c r="D57" s="57" t="inlineStr">
        <is>
          <t>Confusion matrix and its four quadrants; accuracy and the imbalanced-data trap; precision, recall, specificity and F1; ROC curve and AUC; precision-recall curve for rare events; log loss; threshold tuning; class imbalance remedies (class weights, resampling, SMOTE); the business cost of false positives vs false negatives</t>
        </is>
      </c>
      <c r="E57" s="57" t="inlineStr">
        <is>
          <t>Build a confusion matrix, plot ROC and precision-recall curves, tune the decision threshold against a cost matrix, and compare class-weighting with SMOTE</t>
        </is>
      </c>
      <c r="F57" s="57" t="inlineStr">
        <is>
          <t>Setting the approval threshold for a fraud model where a false negative costs far more than a false positive</t>
        </is>
      </c>
      <c r="G57" s="57" t="inlineStr">
        <is>
          <t>Evaluate classifiers correctly under imbalance and tune thresholds to business cost</t>
        </is>
      </c>
      <c r="H57" s="58" t="n">
        <v>35</v>
      </c>
      <c r="I57" s="58" t="inlineStr">
        <is>
          <t>Advanced</t>
        </is>
      </c>
      <c r="J57" s="57" t="inlineStr">
        <is>
          <t>Module 7.7</t>
        </is>
      </c>
      <c r="K57" s="57" t="inlineStr">
        <is>
          <t>scikit-learn, imbalanced-learn, Matplotlib</t>
        </is>
      </c>
      <c r="L57" s="57" t="inlineStr">
        <is>
          <t>classification_metrics.ipynb</t>
        </is>
      </c>
    </row>
    <row r="58" ht="42.75" customHeight="1" s="48">
      <c r="A58" s="59" t="inlineStr">
        <is>
          <t>Module 8</t>
        </is>
      </c>
      <c r="B58" s="60" t="inlineStr">
        <is>
          <t>Machine Learning - Practical Implementation</t>
        </is>
      </c>
      <c r="C58" s="61" t="inlineStr">
        <is>
          <t>8.1 The scikit-learn API &amp; Your First Model</t>
        </is>
      </c>
      <c r="D58" s="61" t="inlineStr">
        <is>
          <t>Estimator, transformer and predictor contracts; fit, predict, predict_proba, score; consistent constructor and hyperparameter conventions; random_state; train-test workflow; model persistence with joblib; building a baseline before anything sophisticated</t>
        </is>
      </c>
      <c r="E58" s="61" t="inlineStr">
        <is>
          <t>Train, evaluate and save a baseline model end to end in under twenty lines, then beat it deliberately</t>
        </is>
      </c>
      <c r="F58" s="61" t="inlineStr">
        <is>
          <t>Establishing the dumb baseline that every subsequent model must justify itself against</t>
        </is>
      </c>
      <c r="G58" s="61" t="inlineStr">
        <is>
          <t>Use the scikit-learn API fluently and always start from a baseline</t>
        </is>
      </c>
      <c r="H58" s="62" t="n">
        <v>30</v>
      </c>
      <c r="I58" s="62" t="inlineStr">
        <is>
          <t>Beginner</t>
        </is>
      </c>
      <c r="J58" s="61" t="inlineStr">
        <is>
          <t>Module 7</t>
        </is>
      </c>
      <c r="K58" s="61" t="inlineStr">
        <is>
          <t>scikit-learn, joblib</t>
        </is>
      </c>
      <c r="L58" s="61" t="inlineStr">
        <is>
          <t>baseline_model.ipynb + saved model</t>
        </is>
      </c>
    </row>
    <row r="59" ht="42.75" customHeight="1" s="48">
      <c r="A59" s="59" t="inlineStr">
        <is>
          <t>Module 8</t>
        </is>
      </c>
      <c r="B59" s="60" t="inlineStr">
        <is>
          <t>Machine Learning - Practical Implementation</t>
        </is>
      </c>
      <c r="C59" s="61" t="inlineStr">
        <is>
          <t>8.2 Simple &amp; Multiple Linear Regression</t>
        </is>
      </c>
      <c r="D59" s="61" t="inlineStr">
        <is>
          <t>The regression line and least squares; cost function (MSE); gradient descent intuition; intercept and coefficient interpretation; multiple regression and partial effects; assumptions (linearity, independence, homoscedasticity, normality of residuals); multicollinearity; residual diagnostics</t>
        </is>
      </c>
      <c r="E59" s="61" t="inlineStr">
        <is>
          <t>Build a house-price prediction model, interpret each coefficient in business units, check residual plots, and diagnose multicollinearity with VIF</t>
        </is>
      </c>
      <c r="F59" s="61" t="inlineStr">
        <is>
          <t>A property valuation model where every coefficient must be explainable to a valuation committee</t>
        </is>
      </c>
      <c r="G59" s="61" t="inlineStr">
        <is>
          <t>Build, interpret and validate linear regression models</t>
        </is>
      </c>
      <c r="H59" s="62" t="n">
        <v>45</v>
      </c>
      <c r="I59" s="62" t="inlineStr">
        <is>
          <t>Intermediate</t>
        </is>
      </c>
      <c r="J59" s="61" t="inlineStr">
        <is>
          <t>Module 8.1</t>
        </is>
      </c>
      <c r="K59" s="61" t="inlineStr">
        <is>
          <t>scikit-learn, statsmodels, Matplotlib</t>
        </is>
      </c>
      <c r="L59" s="61" t="inlineStr">
        <is>
          <t>house_price_regression.ipynb</t>
        </is>
      </c>
    </row>
    <row r="60" ht="32.25" customHeight="1" s="48">
      <c r="A60" s="59" t="inlineStr">
        <is>
          <t>Module 8</t>
        </is>
      </c>
      <c r="B60" s="60" t="inlineStr">
        <is>
          <t>Machine Learning - Practical Implementation</t>
        </is>
      </c>
      <c r="C60" s="61" t="inlineStr">
        <is>
          <t>8.3 Regularised Regression - Ridge, Lasso &amp; ElasticNet</t>
        </is>
      </c>
      <c r="D60" s="61" t="inlineStr">
        <is>
          <t>Why regularisation; L2 shrinkage (Ridge); L1 sparsity and implicit feature selection (Lasso); ElasticNet blending; the alpha hyperparameter and the bias-variance trade-off; the scaling requirement; coefficient path interpretation</t>
        </is>
      </c>
      <c r="E60" s="61" t="inlineStr">
        <is>
          <t>Compare OLS, Ridge, Lasso and ElasticNet on the same data, plot coefficient paths across alpha, and identify which features Lasso eliminated</t>
        </is>
      </c>
      <c r="F60" s="61" t="inlineStr">
        <is>
          <t>Reducing a 200-feature pricing model to a stable 30-feature model that survives quarterly refresh</t>
        </is>
      </c>
      <c r="G60" s="61" t="inlineStr">
        <is>
          <t>Apply regularisation to control overfitting and perform embedded feature selection</t>
        </is>
      </c>
      <c r="H60" s="62" t="n">
        <v>30</v>
      </c>
      <c r="I60" s="62" t="inlineStr">
        <is>
          <t>Advanced</t>
        </is>
      </c>
      <c r="J60" s="61" t="inlineStr">
        <is>
          <t>Module 8.2</t>
        </is>
      </c>
      <c r="K60" s="61" t="inlineStr">
        <is>
          <t>scikit-learn, Matplotlib</t>
        </is>
      </c>
      <c r="L60" s="61" t="inlineStr">
        <is>
          <t>regularised_regression.ipynb</t>
        </is>
      </c>
    </row>
    <row r="61" ht="42.75" customHeight="1" s="48">
      <c r="A61" s="59" t="inlineStr">
        <is>
          <t>Module 8</t>
        </is>
      </c>
      <c r="B61" s="60" t="inlineStr">
        <is>
          <t>Machine Learning - Practical Implementation</t>
        </is>
      </c>
      <c r="C61" s="61" t="inlineStr">
        <is>
          <t>8.4 Logistic Regression</t>
        </is>
      </c>
      <c r="D61" s="61" t="inlineStr">
        <is>
          <t>From linear output to probability via the sigmoid; log-odds and the logit link; decision boundary; maximum likelihood and log loss; interpreting coefficients as odds ratios; threshold selection; multiclass extension (one-vs-rest, softmax); why it remains the regulatory default</t>
        </is>
      </c>
      <c r="E61" s="61" t="inlineStr">
        <is>
          <t>Build a churn classifier, interpret coefficients as odds ratios, produce the confusion matrix and ROC curve, and tune the threshold to a business cost matrix</t>
        </is>
      </c>
      <c r="F61" s="61" t="inlineStr">
        <is>
          <t>Credit and loan-approval scoring, where the model must state exactly how each factor changed the decision odds</t>
        </is>
      </c>
      <c r="G61" s="61" t="inlineStr">
        <is>
          <t>Build, interpret and threshold-tune logistic regression models</t>
        </is>
      </c>
      <c r="H61" s="62" t="n">
        <v>45</v>
      </c>
      <c r="I61" s="62" t="inlineStr">
        <is>
          <t>Intermediate</t>
        </is>
      </c>
      <c r="J61" s="61" t="inlineStr">
        <is>
          <t>Module 8.3</t>
        </is>
      </c>
      <c r="K61" s="61" t="inlineStr">
        <is>
          <t>scikit-learn, statsmodels, Matplotlib</t>
        </is>
      </c>
      <c r="L61" s="61" t="inlineStr">
        <is>
          <t>churn_logistic_model.ipynb</t>
        </is>
      </c>
    </row>
    <row r="62" ht="53.25" customHeight="1" s="48">
      <c r="A62" s="59" t="inlineStr">
        <is>
          <t>Module 8</t>
        </is>
      </c>
      <c r="B62" s="60" t="inlineStr">
        <is>
          <t>Machine Learning - Practical Implementation</t>
        </is>
      </c>
      <c r="C62" s="61" t="inlineStr">
        <is>
          <t>8.5 Decision Trees</t>
        </is>
      </c>
      <c r="D62" s="61" t="inlineStr">
        <is>
          <t>Tree structure: root, internal nodes, leaves; splitting criteria (Gini impurity, entropy, information gain); recursive partitioning; max_depth, min_samples_split, min_samples_leaf; pre- and post-pruning; handling non-linearity and interactions natively; high variance and instability; interpretability advantage</t>
        </is>
      </c>
      <c r="E62" s="61" t="inlineStr">
        <is>
          <t>Train and visualise a decision tree with plot_tree, read the decision path for a single customer, and tune depth to control overfitting</t>
        </is>
      </c>
      <c r="F62" s="61" t="inlineStr">
        <is>
          <t>Generating explainable underwriting rules that a compliance team can read as if-then statements</t>
        </is>
      </c>
      <c r="G62" s="61" t="inlineStr">
        <is>
          <t>Build, visualise, tune and explain decision tree models</t>
        </is>
      </c>
      <c r="H62" s="62" t="n">
        <v>45</v>
      </c>
      <c r="I62" s="62" t="inlineStr">
        <is>
          <t>Intermediate</t>
        </is>
      </c>
      <c r="J62" s="61" t="inlineStr">
        <is>
          <t>Module 8.4</t>
        </is>
      </c>
      <c r="K62" s="61" t="inlineStr">
        <is>
          <t>scikit-learn, Matplotlib, graphviz</t>
        </is>
      </c>
      <c r="L62" s="61" t="inlineStr">
        <is>
          <t>decision_tree_model.ipynb + tree diagram</t>
        </is>
      </c>
    </row>
    <row r="63" ht="42.75" customHeight="1" s="48">
      <c r="A63" s="59" t="inlineStr">
        <is>
          <t>Module 8</t>
        </is>
      </c>
      <c r="B63" s="60" t="inlineStr">
        <is>
          <t>Machine Learning - Practical Implementation</t>
        </is>
      </c>
      <c r="C63" s="61" t="inlineStr">
        <is>
          <t>8.6 Random Forest &amp; Bagging Ensembles</t>
        </is>
      </c>
      <c r="D63" s="61" t="inlineStr">
        <is>
          <t>Ensemble intuition and the wisdom of uncorrelated errors; bootstrap aggregation; feature subsampling at each split; out-of-bag score; n_estimators, max_features, max_depth; variance reduction vs bias; impurity-based vs permutation feature importance and the cardinality bias</t>
        </is>
      </c>
      <c r="E63" s="61" t="inlineStr">
        <is>
          <t>Train a Random Forest, compare it against the single tree, extract and chart feature importances, and validate them with permutation importance</t>
        </is>
      </c>
      <c r="F63" s="61" t="inlineStr">
        <is>
          <t>Identifying the top drivers of employee attrition so HR can act on causes rather than symptoms</t>
        </is>
      </c>
      <c r="G63" s="61" t="inlineStr">
        <is>
          <t>Build ensemble models and extract trustworthy feature importance</t>
        </is>
      </c>
      <c r="H63" s="62" t="n">
        <v>45</v>
      </c>
      <c r="I63" s="62" t="inlineStr">
        <is>
          <t>Intermediate</t>
        </is>
      </c>
      <c r="J63" s="61" t="inlineStr">
        <is>
          <t>Module 8.5</t>
        </is>
      </c>
      <c r="K63" s="61" t="inlineStr">
        <is>
          <t>scikit-learn, Matplotlib</t>
        </is>
      </c>
      <c r="L63" s="61" t="inlineStr">
        <is>
          <t>random_forest_model.ipynb + importance chart</t>
        </is>
      </c>
    </row>
    <row r="64" ht="42.75" customHeight="1" s="48">
      <c r="A64" s="59" t="inlineStr">
        <is>
          <t>Module 8</t>
        </is>
      </c>
      <c r="B64" s="60" t="inlineStr">
        <is>
          <t>Machine Learning - Practical Implementation</t>
        </is>
      </c>
      <c r="C64" s="61" t="inlineStr">
        <is>
          <t>8.7 Boosting - Gradient Boosting &amp; XGBoost</t>
        </is>
      </c>
      <c r="D64" s="61" t="inlineStr">
        <is>
          <t>Sequential learning and fitting residuals; boosting vs bagging; learning rate, n_estimators and their interaction; tree depth in boosting; early stopping on a validation set; XGBoost and LightGBM overview; why boosting dominates tabular competitions; overfitting risk</t>
        </is>
      </c>
      <c r="E64" s="61" t="inlineStr">
        <is>
          <t>Train Gradient Boosting and XGBoost baselines with early stopping and compare accuracy, training time and stability against Random Forest</t>
        </is>
      </c>
      <c r="F64" s="61" t="inlineStr">
        <is>
          <t>Squeezing the last few points of lift from a tabular risk model where each point is worth real money</t>
        </is>
      </c>
      <c r="G64" s="61" t="inlineStr">
        <is>
          <t>Apply boosting algorithms and manage their overfitting risk</t>
        </is>
      </c>
      <c r="H64" s="62" t="n">
        <v>35</v>
      </c>
      <c r="I64" s="62" t="inlineStr">
        <is>
          <t>Advanced</t>
        </is>
      </c>
      <c r="J64" s="61" t="inlineStr">
        <is>
          <t>Module 8.6</t>
        </is>
      </c>
      <c r="K64" s="61" t="inlineStr">
        <is>
          <t>scikit-learn, XGBoost</t>
        </is>
      </c>
      <c r="L64" s="61" t="inlineStr">
        <is>
          <t>boosting_comparison.ipynb</t>
        </is>
      </c>
    </row>
    <row r="65" ht="42.75" customHeight="1" s="48">
      <c r="A65" s="59" t="inlineStr">
        <is>
          <t>Module 8</t>
        </is>
      </c>
      <c r="B65" s="60" t="inlineStr">
        <is>
          <t>Machine Learning - Practical Implementation</t>
        </is>
      </c>
      <c r="C65" s="61" t="inlineStr">
        <is>
          <t>8.8 KNN, Naive Bayes &amp; Support Vector Machines</t>
        </is>
      </c>
      <c r="D65" s="61" t="inlineStr">
        <is>
          <t>K-Nearest Neighbours: distance metrics, choice of k, scaling sensitivity, lazy learning cost; Naive Bayes: conditional independence assumption, variants, strength on text; SVM: margins, support vectors, the kernel trick, C and gamma; comparative strengths, weaknesses and cost</t>
        </is>
      </c>
      <c r="E65" s="61" t="inlineStr">
        <is>
          <t>Run all three on the same prepared dataset, tune the single most important hyperparameter for each, and add them to the leaderboard</t>
        </is>
      </c>
      <c r="F65" s="61" t="inlineStr">
        <is>
          <t>Choosing a lightweight Naive Bayes classifier for high-volume text triage instead of a heavier model</t>
        </is>
      </c>
      <c r="G65" s="61" t="inlineStr">
        <is>
          <t>Recognise where these classical algorithms fit and apply them competently</t>
        </is>
      </c>
      <c r="H65" s="62" t="n">
        <v>30</v>
      </c>
      <c r="I65" s="62" t="inlineStr">
        <is>
          <t>Intermediate</t>
        </is>
      </c>
      <c r="J65" s="61" t="inlineStr">
        <is>
          <t>Module 8.7</t>
        </is>
      </c>
      <c r="K65" s="61" t="inlineStr">
        <is>
          <t>scikit-learn</t>
        </is>
      </c>
      <c r="L65" s="61" t="inlineStr">
        <is>
          <t>classical_algorithms.ipynb</t>
        </is>
      </c>
    </row>
    <row r="66" ht="42.75" customHeight="1" s="48">
      <c r="A66" s="59" t="inlineStr">
        <is>
          <t>Module 8</t>
        </is>
      </c>
      <c r="B66" s="60" t="inlineStr">
        <is>
          <t>Machine Learning - Practical Implementation</t>
        </is>
      </c>
      <c r="C66" s="61" t="inlineStr">
        <is>
          <t>8.9 Model Comparison &amp; Selection Framework</t>
        </is>
      </c>
      <c r="D66" s="61" t="inlineStr">
        <is>
          <t>Comparing models on a common validation protocol; statistical significance of score differences; the accuracy vs interpretability vs latency vs cost trade-off; maintainability and retraining burden; documenting the selection decision; when the simpler model wins</t>
        </is>
      </c>
      <c r="E66" s="61" t="inlineStr">
        <is>
          <t>Build a model leaderboard across all algorithms trained so far with metrics, training time and interpretability rating, and write a one-paragraph selection recommendation</t>
        </is>
      </c>
      <c r="F66" s="61" t="inlineStr">
        <is>
          <t>The model-selection memo that an architecture review board approves before deployment</t>
        </is>
      </c>
      <c r="G66" s="61" t="inlineStr">
        <is>
          <t>Select and justify a production model on evidence, not on the highest score alone</t>
        </is>
      </c>
      <c r="H66" s="62" t="n">
        <v>25</v>
      </c>
      <c r="I66" s="62" t="inlineStr">
        <is>
          <t>Advanced</t>
        </is>
      </c>
      <c r="J66" s="61" t="inlineStr">
        <is>
          <t>Modules 8.1-8.8</t>
        </is>
      </c>
      <c r="K66" s="61" t="inlineStr">
        <is>
          <t>scikit-learn, Pandas</t>
        </is>
      </c>
      <c r="L66" s="61" t="inlineStr">
        <is>
          <t>Model comparison matrix + recommendation</t>
        </is>
      </c>
    </row>
    <row r="67" ht="42.75" customHeight="1" s="48">
      <c r="A67" s="55" t="inlineStr">
        <is>
          <t>Module 9</t>
        </is>
      </c>
      <c r="B67" s="56" t="inlineStr">
        <is>
          <t>Unsupervised Learning, Tuning, Pipelines &amp; Deployment</t>
        </is>
      </c>
      <c r="C67" s="57" t="inlineStr">
        <is>
          <t>9.1 Clustering with K-Means</t>
        </is>
      </c>
      <c r="D67" s="57" t="inlineStr">
        <is>
          <t>Unsupervised objective and the absence of labels; centroids and within-cluster sum of squares (inertia); the algorithm step by step; k-means++ initialisation; choosing k with the elbow method and silhouette score; mandatory scaling; sensitivity to outliers and to non-spherical clusters</t>
        </is>
      </c>
      <c r="E67" s="57" t="inlineStr">
        <is>
          <t>Segment customers into clusters, choose k using elbow and silhouette analysis, and profile each cluster into a business persona</t>
        </is>
      </c>
      <c r="F67" s="57" t="inlineStr">
        <is>
          <t>Behaviour-based customer segmentation that drives differentiated marketing campaigns</t>
        </is>
      </c>
      <c r="G67" s="57" t="inlineStr">
        <is>
          <t>Build, validate and interpret a clustering solution</t>
        </is>
      </c>
      <c r="H67" s="58" t="n">
        <v>40</v>
      </c>
      <c r="I67" s="58" t="inlineStr">
        <is>
          <t>Intermediate</t>
        </is>
      </c>
      <c r="J67" s="57" t="inlineStr">
        <is>
          <t>Module 5</t>
        </is>
      </c>
      <c r="K67" s="57" t="inlineStr">
        <is>
          <t>scikit-learn, Matplotlib, Seaborn</t>
        </is>
      </c>
      <c r="L67" s="57" t="inlineStr">
        <is>
          <t>customer_segmentation.ipynb + cluster profiles</t>
        </is>
      </c>
    </row>
    <row r="68" ht="42.75" customHeight="1" s="48">
      <c r="A68" s="55" t="inlineStr">
        <is>
          <t>Module 9</t>
        </is>
      </c>
      <c r="B68" s="56" t="inlineStr">
        <is>
          <t>Unsupervised Learning, Tuning, Pipelines &amp; Deployment</t>
        </is>
      </c>
      <c r="C68" s="57" t="inlineStr">
        <is>
          <t>9.2 Hierarchical Clustering &amp; DBSCAN</t>
        </is>
      </c>
      <c r="D68" s="57" t="inlineStr">
        <is>
          <t>Agglomerative vs divisive clustering; linkage methods; reading a dendrogram and cutting it; DBSCAN with eps and min_samples; density-based clusters of arbitrary shape; automatic noise and outlier labelling; choosing between K-Means, hierarchical and DBSCAN</t>
        </is>
      </c>
      <c r="E68" s="57" t="inlineStr">
        <is>
          <t>Produce a dendrogram on the same dataset, compare the resulting groups with the K-Means solution, and run DBSCAN to isolate anomalous customers</t>
        </is>
      </c>
      <c r="F68" s="57" t="inlineStr">
        <is>
          <t>Anomaly detection where the interesting records are precisely the ones that belong to no cluster</t>
        </is>
      </c>
      <c r="G68" s="57" t="inlineStr">
        <is>
          <t>Select the appropriate clustering algorithm for the data's shape and purpose</t>
        </is>
      </c>
      <c r="H68" s="58" t="n">
        <v>25</v>
      </c>
      <c r="I68" s="58" t="inlineStr">
        <is>
          <t>Advanced</t>
        </is>
      </c>
      <c r="J68" s="57" t="inlineStr">
        <is>
          <t>Module 9.1</t>
        </is>
      </c>
      <c r="K68" s="57" t="inlineStr">
        <is>
          <t>scikit-learn, SciPy, Matplotlib</t>
        </is>
      </c>
      <c r="L68" s="57" t="inlineStr">
        <is>
          <t>clustering_comparison.ipynb</t>
        </is>
      </c>
    </row>
    <row r="69" ht="42.75" customHeight="1" s="48">
      <c r="A69" s="55" t="inlineStr">
        <is>
          <t>Module 9</t>
        </is>
      </c>
      <c r="B69" s="56" t="inlineStr">
        <is>
          <t>Unsupervised Learning, Tuning, Pipelines &amp; Deployment</t>
        </is>
      </c>
      <c r="C69" s="57" t="inlineStr">
        <is>
          <t>9.3 Dimensionality Reduction with PCA</t>
        </is>
      </c>
      <c r="D69" s="57" t="inlineStr">
        <is>
          <t>The curse of dimensionality; principal components as directions of maximum variance; eigenvalues, explained variance ratio and the scree plot; choosing the number of components; the scaling requirement; loss of interpretability; PCA vs feature selection; t-SNE and UMAP for visualisation only</t>
        </is>
      </c>
      <c r="E69" s="57" t="inlineStr">
        <is>
          <t>Apply PCA to the feature set, plot cumulative explained variance, reduce to two components to visualise the clusters, and compare model performance before and after reduction</t>
        </is>
      </c>
      <c r="F69" s="57" t="inlineStr">
        <is>
          <t>Compressing hundreds of correlated sensor signals into a handful of components for a real-time scoring service</t>
        </is>
      </c>
      <c r="G69" s="57" t="inlineStr">
        <is>
          <t>Reduce dimensionality deliberately and quantify what was gained and lost</t>
        </is>
      </c>
      <c r="H69" s="58" t="n">
        <v>35</v>
      </c>
      <c r="I69" s="58" t="inlineStr">
        <is>
          <t>Advanced</t>
        </is>
      </c>
      <c r="J69" s="57" t="inlineStr">
        <is>
          <t>Module 9.2</t>
        </is>
      </c>
      <c r="K69" s="57" t="inlineStr">
        <is>
          <t>scikit-learn, Matplotlib</t>
        </is>
      </c>
      <c r="L69" s="57" t="inlineStr">
        <is>
          <t>pca_analysis.ipynb</t>
        </is>
      </c>
    </row>
    <row r="70" ht="42.75" customHeight="1" s="48">
      <c r="A70" s="55" t="inlineStr">
        <is>
          <t>Module 9</t>
        </is>
      </c>
      <c r="B70" s="56" t="inlineStr">
        <is>
          <t>Unsupervised Learning, Tuning, Pipelines &amp; Deployment</t>
        </is>
      </c>
      <c r="C70" s="57" t="inlineStr">
        <is>
          <t>9.4 Hyperparameter Tuning</t>
        </is>
      </c>
      <c r="D70" s="57" t="inlineStr">
        <is>
          <t>Parameters vs hyperparameters; manual tuning and its limits; GridSearchCV exhaustive search; RandomizedSearchCV and why random often wins; Bayesian optimisation with Optuna; defining sensible search spaces; cross validation inside the search; nested CV; compute budget and diminishing returns</t>
        </is>
      </c>
      <c r="E70" s="57" t="inlineStr">
        <is>
          <t>Run GridSearchCV and RandomizedSearchCV on the Random Forest, compare best scores, runtime and the resulting parameters, then quantify the lift over the untuned model</t>
        </is>
      </c>
      <c r="F70" s="57" t="inlineStr">
        <is>
          <t>Deciding whether a three-hour tuning job is worth a 0.4 percent lift on a model that retrains weekly</t>
        </is>
      </c>
      <c r="G70" s="57" t="inlineStr">
        <is>
          <t>Tune models systematically within a defined compute budget</t>
        </is>
      </c>
      <c r="H70" s="58" t="n">
        <v>40</v>
      </c>
      <c r="I70" s="58" t="inlineStr">
        <is>
          <t>Advanced</t>
        </is>
      </c>
      <c r="J70" s="57" t="inlineStr">
        <is>
          <t>Module 8</t>
        </is>
      </c>
      <c r="K70" s="57" t="inlineStr">
        <is>
          <t>scikit-learn, Optuna</t>
        </is>
      </c>
      <c r="L70" s="57" t="inlineStr">
        <is>
          <t>Tuned model + tuning report</t>
        </is>
      </c>
    </row>
    <row r="71" ht="53.25" customHeight="1" s="48">
      <c r="A71" s="55" t="inlineStr">
        <is>
          <t>Module 9</t>
        </is>
      </c>
      <c r="B71" s="56" t="inlineStr">
        <is>
          <t>Unsupervised Learning, Tuning, Pipelines &amp; Deployment</t>
        </is>
      </c>
      <c r="C71" s="57" t="inlineStr">
        <is>
          <t>9.5 Pipelines &amp; ColumnTransformer</t>
        </is>
      </c>
      <c r="D71" s="57" t="inlineStr">
        <is>
          <t>Pipeline anatomy and why it prevents leakage; chaining transformers and a final estimator; ColumnTransformer for mixed numeric and categorical columns; custom transformers via FunctionTransformer and BaseEstimator; tuning a whole pipeline with GridSearchCV; serialising the entire pipeline, not just the model</t>
        </is>
      </c>
      <c r="E71" s="57" t="inlineStr">
        <is>
          <t>Refactor the full preprocessing and modelling flow into a single Pipeline with ColumnTransformer, tune it end to end, and save it as one artefact</t>
        </is>
      </c>
      <c r="F71" s="57" t="inlineStr">
        <is>
          <t>Shipping one artefact that guarantees inference-time preprocessing matches training exactly</t>
        </is>
      </c>
      <c r="G71" s="57" t="inlineStr">
        <is>
          <t>Package preprocessing and modelling into a single production-safe pipeline</t>
        </is>
      </c>
      <c r="H71" s="58" t="n">
        <v>40</v>
      </c>
      <c r="I71" s="58" t="inlineStr">
        <is>
          <t>Advanced</t>
        </is>
      </c>
      <c r="J71" s="57" t="inlineStr">
        <is>
          <t>Module 9.4</t>
        </is>
      </c>
      <c r="K71" s="57" t="inlineStr">
        <is>
          <t>scikit-learn, joblib</t>
        </is>
      </c>
      <c r="L71" s="57" t="inlineStr">
        <is>
          <t>End-to-end pipeline artefact</t>
        </is>
      </c>
    </row>
    <row r="72" ht="53.25" customHeight="1" s="48">
      <c r="A72" s="55" t="inlineStr">
        <is>
          <t>Module 9</t>
        </is>
      </c>
      <c r="B72" s="56" t="inlineStr">
        <is>
          <t>Unsupervised Learning, Tuning, Pipelines &amp; Deployment</t>
        </is>
      </c>
      <c r="C72" s="57" t="inlineStr">
        <is>
          <t>9.6 Model Persistence, Serving &amp; Introduction to MLOps</t>
        </is>
      </c>
      <c r="D72" s="57" t="inlineStr">
        <is>
          <t>joblib vs pickle and version compatibility; model registry and versioning concepts; batch scoring vs real-time API scoring; exposing a model with FastAPI or Flask; input validation and schema contracts; latency and payload considerations; monitoring, data drift, concept drift and retraining triggers; the ML lifecycle in production</t>
        </is>
      </c>
      <c r="E72" s="57" t="inlineStr">
        <is>
          <t>Serialise the tuned pipeline and expose a local /predict REST endpoint with FastAPI, then call it with sample payloads and validate the responses</t>
        </is>
      </c>
      <c r="F72" s="57" t="inlineStr">
        <is>
          <t>Integrating a scoring endpoint into an existing application so a support system can call it per ticket</t>
        </is>
      </c>
      <c r="G72" s="57" t="inlineStr">
        <is>
          <t>Move a trained model out of the notebook and into a callable service</t>
        </is>
      </c>
      <c r="H72" s="58" t="n">
        <v>35</v>
      </c>
      <c r="I72" s="58" t="inlineStr">
        <is>
          <t>Advanced</t>
        </is>
      </c>
      <c r="J72" s="57" t="inlineStr">
        <is>
          <t>Modules 2, 9.5</t>
        </is>
      </c>
      <c r="K72" s="57" t="inlineStr">
        <is>
          <t>FastAPI/Flask, joblib, Uvicorn, Postman</t>
        </is>
      </c>
      <c r="L72" s="57" t="inlineStr">
        <is>
          <t>Running prediction API + sample requests</t>
        </is>
      </c>
    </row>
    <row r="73" ht="42.75" customHeight="1" s="48">
      <c r="A73" s="55" t="inlineStr">
        <is>
          <t>Module 9</t>
        </is>
      </c>
      <c r="B73" s="56" t="inlineStr">
        <is>
          <t>Unsupervised Learning, Tuning, Pipelines &amp; Deployment</t>
        </is>
      </c>
      <c r="C73" s="57" t="inlineStr">
        <is>
          <t>9.7 Responsible AI, Explainability &amp; Ethics</t>
        </is>
      </c>
      <c r="D73" s="57" t="inlineStr">
        <is>
          <t>Sources of bias in data and models; fairness metrics and protected attributes; global vs local explainability; SHAP and LIME intuition; feature importance vs causal effect; PII and privacy obligations; model cards and documentation; regulatory expectations and human oversight</t>
        </is>
      </c>
      <c r="E73" s="57" t="inlineStr">
        <is>
          <t>Generate SHAP summary and force plots for the tuned model, explain one individual prediction end to end, and draft a short model card</t>
        </is>
      </c>
      <c r="F73" s="57" t="inlineStr">
        <is>
          <t>Producing the explainability evidence required before an automated decisioning model can go live</t>
        </is>
      </c>
      <c r="G73" s="57" t="inlineStr">
        <is>
          <t>Explain model behaviour and address fairness, privacy and documentation obligations</t>
        </is>
      </c>
      <c r="H73" s="58" t="n">
        <v>25</v>
      </c>
      <c r="I73" s="58" t="inlineStr">
        <is>
          <t>Advanced</t>
        </is>
      </c>
      <c r="J73" s="57" t="inlineStr">
        <is>
          <t>Module 9.6</t>
        </is>
      </c>
      <c r="K73" s="57" t="inlineStr">
        <is>
          <t>SHAP, LIME, scikit-learn</t>
        </is>
      </c>
      <c r="L73" s="57" t="inlineStr">
        <is>
          <t>SHAP analysis + model card</t>
        </is>
      </c>
    </row>
    <row r="74" ht="32.25" customHeight="1" s="48">
      <c r="A74" s="59" t="inlineStr">
        <is>
          <t>Module 10</t>
        </is>
      </c>
      <c r="B74" s="60" t="inlineStr">
        <is>
          <t>End-to-End Capstone Project</t>
        </is>
      </c>
      <c r="C74" s="61" t="inlineStr">
        <is>
          <t>10.1 Business Problem Framing &amp; Project Setup</t>
        </is>
      </c>
      <c r="D74" s="61" t="inlineStr">
        <is>
          <t>Restating the business objective; defining the target variable and prediction window; success criteria and baseline; scope, assumptions and constraints; project folder structure, environment and version control setup</t>
        </is>
      </c>
      <c r="E74" s="61" t="inlineStr">
        <is>
          <t>Write the project charter for the chosen capstone and initialise the repository structure, environment file and notebook skeleton</t>
        </is>
      </c>
      <c r="F74" s="61" t="inlineStr">
        <is>
          <t>The kickoff artefact that aligns business, data and engineering stakeholders on what is being built and why</t>
        </is>
      </c>
      <c r="G74" s="61" t="inlineStr">
        <is>
          <t>Convert a business ask into a scoped, measurable ML project plan</t>
        </is>
      </c>
      <c r="H74" s="62" t="n">
        <v>25</v>
      </c>
      <c r="I74" s="62" t="inlineStr">
        <is>
          <t>Intermediate</t>
        </is>
      </c>
      <c r="J74" s="61" t="inlineStr">
        <is>
          <t>Modules 1-9</t>
        </is>
      </c>
      <c r="K74" s="61" t="inlineStr">
        <is>
          <t>Git, conda, Jupyter</t>
        </is>
      </c>
      <c r="L74" s="61" t="inlineStr">
        <is>
          <t>Project charter + initialised repo</t>
        </is>
      </c>
    </row>
    <row r="75" ht="32.25" customHeight="1" s="48">
      <c r="A75" s="59" t="inlineStr">
        <is>
          <t>Module 10</t>
        </is>
      </c>
      <c r="B75" s="60" t="inlineStr">
        <is>
          <t>End-to-End Capstone Project</t>
        </is>
      </c>
      <c r="C75" s="61" t="inlineStr">
        <is>
          <t>10.2 Data Collection &amp; Ingestion</t>
        </is>
      </c>
      <c r="D75" s="61" t="inlineStr">
        <is>
          <t>Source identification; schema and dictionary review; ingesting from CSV, Excel and a relational source; volume and grain checks; reconciliation against source counts; raw-data immutability</t>
        </is>
      </c>
      <c r="E75" s="61" t="inlineStr">
        <is>
          <t>Ingest all capstone source files into a raw layer, validate row counts and schemas, and document the data dictionary</t>
        </is>
      </c>
      <c r="F75" s="61" t="inlineStr">
        <is>
          <t>The controlled ingestion step that guarantees analysis can always be traced back to an untouched raw snapshot</t>
        </is>
      </c>
      <c r="G75" s="61" t="inlineStr">
        <is>
          <t>Ingest and validate source data reproducibly</t>
        </is>
      </c>
      <c r="H75" s="62" t="n">
        <v>25</v>
      </c>
      <c r="I75" s="62" t="inlineStr">
        <is>
          <t>Intermediate</t>
        </is>
      </c>
      <c r="J75" s="61" t="inlineStr">
        <is>
          <t>Module 10.1</t>
        </is>
      </c>
      <c r="K75" s="61" t="inlineStr">
        <is>
          <t>Pandas, SQLAlchemy</t>
        </is>
      </c>
      <c r="L75" s="61" t="inlineStr">
        <is>
          <t>Raw data layer + data dictionary</t>
        </is>
      </c>
    </row>
    <row r="76" ht="32.25" customHeight="1" s="48">
      <c r="A76" s="59" t="inlineStr">
        <is>
          <t>Module 10</t>
        </is>
      </c>
      <c r="B76" s="60" t="inlineStr">
        <is>
          <t>End-to-End Capstone Project</t>
        </is>
      </c>
      <c r="C76" s="61" t="inlineStr">
        <is>
          <t>10.3 Data Cleaning &amp; Quality Remediation</t>
        </is>
      </c>
      <c r="D76" s="61" t="inlineStr">
        <is>
          <t>Applying the full cleaning toolkit: missing values, duplicates, outliers, type correction, category standardisation; documenting every transformation and its rationale; before-and-after quality scorecard</t>
        </is>
      </c>
      <c r="E76" s="61" t="inlineStr">
        <is>
          <t>Clean the capstone dataset end to end and produce a transformation log plus a before-and-after data-quality comparison</t>
        </is>
      </c>
      <c r="F76" s="61" t="inlineStr">
        <is>
          <t>The cleaning audit trail a model risk reviewer will ask for six months after go-live</t>
        </is>
      </c>
      <c r="G76" s="61" t="inlineStr">
        <is>
          <t>Deliver a clean, documented, analysis-ready dataset</t>
        </is>
      </c>
      <c r="H76" s="62" t="n">
        <v>30</v>
      </c>
      <c r="I76" s="62" t="inlineStr">
        <is>
          <t>Intermediate</t>
        </is>
      </c>
      <c r="J76" s="61" t="inlineStr">
        <is>
          <t>Module 10.2</t>
        </is>
      </c>
      <c r="K76" s="61" t="inlineStr">
        <is>
          <t>Pandas, NumPy, scikit-learn</t>
        </is>
      </c>
      <c r="L76" s="61" t="inlineStr">
        <is>
          <t>Cleaned dataset + transformation log</t>
        </is>
      </c>
    </row>
    <row r="77" ht="32.25" customHeight="1" s="48">
      <c r="A77" s="59" t="inlineStr">
        <is>
          <t>Module 10</t>
        </is>
      </c>
      <c r="B77" s="60" t="inlineStr">
        <is>
          <t>End-to-End Capstone Project</t>
        </is>
      </c>
      <c r="C77" s="61" t="inlineStr">
        <is>
          <t>10.4 Exploratory Data Analysis &amp; Visualisation</t>
        </is>
      </c>
      <c r="D77" s="61" t="inlineStr">
        <is>
          <t>Univariate, bivariate and multivariate exploration against the target; hypothesis-driven questioning; correlation and segment analysis; chart selection and annotation; converting observations into quantified insights</t>
        </is>
      </c>
      <c r="E77" s="61" t="inlineStr">
        <is>
          <t>Run the complete EDA on the capstone data and produce at least ten quantified insights with supporting visuals</t>
        </is>
      </c>
      <c r="F77" s="61" t="inlineStr">
        <is>
          <t>The EDA pack that often reveals the answer before any model is trained</t>
        </is>
      </c>
      <c r="G77" s="61" t="inlineStr">
        <is>
          <t>Extract and communicate the story the data is telling</t>
        </is>
      </c>
      <c r="H77" s="62" t="n">
        <v>35</v>
      </c>
      <c r="I77" s="62" t="inlineStr">
        <is>
          <t>Intermediate</t>
        </is>
      </c>
      <c r="J77" s="61" t="inlineStr">
        <is>
          <t>Module 10.3</t>
        </is>
      </c>
      <c r="K77" s="61" t="inlineStr">
        <is>
          <t>Pandas, Matplotlib, Seaborn</t>
        </is>
      </c>
      <c r="L77" s="61" t="inlineStr">
        <is>
          <t>EDA notebook + insight pack</t>
        </is>
      </c>
    </row>
    <row r="78" ht="32.25" customHeight="1" s="48">
      <c r="A78" s="59" t="inlineStr">
        <is>
          <t>Module 10</t>
        </is>
      </c>
      <c r="B78" s="60" t="inlineStr">
        <is>
          <t>End-to-End Capstone Project</t>
        </is>
      </c>
      <c r="C78" s="61" t="inlineStr">
        <is>
          <t>10.5 Feature Engineering &amp; Selection</t>
        </is>
      </c>
      <c r="D78" s="61" t="inlineStr">
        <is>
          <t>Domain feature creation; encoding and scaling decisions per feature type; interaction and aggregate features; selection via correlation, importance and RFE; leakage review of every engineered feature; final feature specification</t>
        </is>
      </c>
      <c r="E78" s="61" t="inlineStr">
        <is>
          <t>Engineer and select the final modelling feature set, document each feature's definition and rationale, and run a leakage review</t>
        </is>
      </c>
      <c r="F78" s="61" t="inlineStr">
        <is>
          <t>The feature specification that a feature store or downstream engineering team will implement</t>
        </is>
      </c>
      <c r="G78" s="61" t="inlineStr">
        <is>
          <t>Produce a defensible, leakage-free final feature set</t>
        </is>
      </c>
      <c r="H78" s="62" t="n">
        <v>30</v>
      </c>
      <c r="I78" s="62" t="inlineStr">
        <is>
          <t>Advanced</t>
        </is>
      </c>
      <c r="J78" s="61" t="inlineStr">
        <is>
          <t>Module 10.4</t>
        </is>
      </c>
      <c r="K78" s="61" t="inlineStr">
        <is>
          <t>Pandas, scikit-learn</t>
        </is>
      </c>
      <c r="L78" s="61" t="inlineStr">
        <is>
          <t>Feature specification + modelling dataset</t>
        </is>
      </c>
    </row>
    <row r="79" ht="32.25" customHeight="1" s="48">
      <c r="A79" s="59" t="inlineStr">
        <is>
          <t>Module 10</t>
        </is>
      </c>
      <c r="B79" s="60" t="inlineStr">
        <is>
          <t>End-to-End Capstone Project</t>
        </is>
      </c>
      <c r="C79" s="61" t="inlineStr">
        <is>
          <t>10.6 Model Building - Baseline &amp; Candidate Models</t>
        </is>
      </c>
      <c r="D79" s="61" t="inlineStr">
        <is>
          <t>Establishing the baseline; training candidate algorithms across families; consistent validation protocol; handling class imbalance; recording every experiment; reproducibility through fixed seeds and pipelines</t>
        </is>
      </c>
      <c r="E79" s="61" t="inlineStr">
        <is>
          <t>Train a baseline plus at least four candidate models inside pipelines under a common cross-validation protocol, logging every result</t>
        </is>
      </c>
      <c r="F79" s="61" t="inlineStr">
        <is>
          <t>The experiment log that lets a team resume or audit a modelling effort months later</t>
        </is>
      </c>
      <c r="G79" s="61" t="inlineStr">
        <is>
          <t>Train and track multiple competing models rigorously</t>
        </is>
      </c>
      <c r="H79" s="62" t="n">
        <v>40</v>
      </c>
      <c r="I79" s="62" t="inlineStr">
        <is>
          <t>Advanced</t>
        </is>
      </c>
      <c r="J79" s="61" t="inlineStr">
        <is>
          <t>Module 10.5</t>
        </is>
      </c>
      <c r="K79" s="61" t="inlineStr">
        <is>
          <t>scikit-learn, XGBoost</t>
        </is>
      </c>
      <c r="L79" s="61" t="inlineStr">
        <is>
          <t>Trained candidate models + experiment log</t>
        </is>
      </c>
    </row>
    <row r="80" ht="32.25" customHeight="1" s="48">
      <c r="A80" s="59" t="inlineStr">
        <is>
          <t>Module 10</t>
        </is>
      </c>
      <c r="B80" s="60" t="inlineStr">
        <is>
          <t>End-to-End Capstone Project</t>
        </is>
      </c>
      <c r="C80" s="61" t="inlineStr">
        <is>
          <t>10.7 Evaluation, Tuning &amp; Final Model Selection</t>
        </is>
      </c>
      <c r="D80" s="61" t="inlineStr">
        <is>
          <t>Metric choice tied to business cost; cross-validated comparison; hyperparameter tuning of the shortlist; threshold optimisation; overfitting and stability checks; final selection with documented justification</t>
        </is>
      </c>
      <c r="E80" s="61" t="inlineStr">
        <is>
          <t>Tune the top two candidates, evaluate on the untouched test set, optimise the decision threshold against a cost matrix, and select the final model</t>
        </is>
      </c>
      <c r="F80" s="61" t="inlineStr">
        <is>
          <t>The go/no-go evaluation that determines whether the model beats the current process enough to deploy</t>
        </is>
      </c>
      <c r="G80" s="61" t="inlineStr">
        <is>
          <t>Select and validate a final model with quantified, business-linked justification</t>
        </is>
      </c>
      <c r="H80" s="62" t="n">
        <v>35</v>
      </c>
      <c r="I80" s="62" t="inlineStr">
        <is>
          <t>Advanced</t>
        </is>
      </c>
      <c r="J80" s="61" t="inlineStr">
        <is>
          <t>Module 10.6</t>
        </is>
      </c>
      <c r="K80" s="61" t="inlineStr">
        <is>
          <t>scikit-learn, Optuna, Matplotlib</t>
        </is>
      </c>
      <c r="L80" s="61" t="inlineStr">
        <is>
          <t>Final tuned model + evaluation report</t>
        </is>
      </c>
    </row>
    <row r="81" ht="32.25" customHeight="1" s="48">
      <c r="A81" s="59" t="inlineStr">
        <is>
          <t>Module 10</t>
        </is>
      </c>
      <c r="B81" s="60" t="inlineStr">
        <is>
          <t>End-to-End Capstone Project</t>
        </is>
      </c>
      <c r="C81" s="61" t="inlineStr">
        <is>
          <t>10.8 Prediction, Business Insights &amp; Recommendations</t>
        </is>
      </c>
      <c r="D81" s="61" t="inlineStr">
        <is>
          <t>Scoring new records; converting probabilities into decisions and actions; driver analysis with feature importance and SHAP; estimating business impact and ROI; risk, limitations and monitoring plan; recommendations for the business</t>
        </is>
      </c>
      <c r="E81" s="61" t="inlineStr">
        <is>
          <t>Score a holdout batch, identify the top action-worthy segment, quantify the expected business impact, and write the recommendation section</t>
        </is>
      </c>
      <c r="F81" s="61" t="inlineStr">
        <is>
          <t>Translating model output into a retention campaign with a projected revenue saving attached</t>
        </is>
      </c>
      <c r="G81" s="61" t="inlineStr">
        <is>
          <t>Turn model output into quantified business recommendations</t>
        </is>
      </c>
      <c r="H81" s="62" t="n">
        <v>30</v>
      </c>
      <c r="I81" s="62" t="inlineStr">
        <is>
          <t>Advanced</t>
        </is>
      </c>
      <c r="J81" s="61" t="inlineStr">
        <is>
          <t>Module 10.7</t>
        </is>
      </c>
      <c r="K81" s="61" t="inlineStr">
        <is>
          <t>scikit-learn, SHAP, Pandas</t>
        </is>
      </c>
      <c r="L81" s="61" t="inlineStr">
        <is>
          <t>Scored output + business impact analysis</t>
        </is>
      </c>
    </row>
    <row r="82" ht="42.75" customHeight="1" s="48">
      <c r="A82" s="59" t="inlineStr">
        <is>
          <t>Module 10</t>
        </is>
      </c>
      <c r="B82" s="60" t="inlineStr">
        <is>
          <t>End-to-End Capstone Project</t>
        </is>
      </c>
      <c r="C82" s="61" t="inlineStr">
        <is>
          <t>10.9 Project Presentation, Code Walkthrough &amp; Learning Roadmap</t>
        </is>
      </c>
      <c r="D82" s="61" t="inlineStr">
        <is>
          <t>Structuring a technical and an executive narrative; presenting results without jargon; defending methodology choices; code walkthrough and review; deployment and monitoring next steps; a personal roadmap for continued learning</t>
        </is>
      </c>
      <c r="E82" s="61" t="inlineStr">
        <is>
          <t>Present the capstone to the group, walk through the code, defend three design decisions, and draft an individual 90-day learning plan</t>
        </is>
      </c>
      <c r="F82" s="61" t="inlineStr">
        <is>
          <t>The final project readout to sponsors that decides whether the work moves to production</t>
        </is>
      </c>
      <c r="G82" s="61" t="inlineStr">
        <is>
          <t>Present and defend an end-to-end ML project and plan independent advanced learning</t>
        </is>
      </c>
      <c r="H82" s="62" t="n">
        <v>20</v>
      </c>
      <c r="I82" s="62" t="inlineStr">
        <is>
          <t>Advanced</t>
        </is>
      </c>
      <c r="J82" s="61" t="inlineStr">
        <is>
          <t>Modules 10.1-10.8</t>
        </is>
      </c>
      <c r="K82" s="61" t="inlineStr">
        <is>
          <t>Jupyter, PowerPoint</t>
        </is>
      </c>
      <c r="L82" s="61" t="inlineStr">
        <is>
          <t>Capstone deck + final project repository</t>
        </is>
      </c>
    </row>
    <row r="83" ht="15" customHeight="1" s="48">
      <c r="A83" s="63" t="n"/>
      <c r="B83" s="63" t="n"/>
      <c r="C83" s="63" t="n"/>
      <c r="D83" s="63" t="n"/>
      <c r="E83" s="63" t="n"/>
      <c r="F83" s="63" t="n"/>
      <c r="G83" s="63" t="inlineStr">
        <is>
          <t>TOTAL PROGRAM DURATION</t>
        </is>
      </c>
      <c r="H83" s="63">
        <f>SUM(H5:H82)</f>
        <v/>
      </c>
      <c r="I83" s="63">
        <f>ROUND(H83/60,1)&amp;" hours"</f>
        <v/>
      </c>
      <c r="J83" s="63">
        <f>COUNTA(C5:C82)&amp;" topics"</f>
        <v/>
      </c>
      <c r="K83" s="63" t="n"/>
      <c r="L83" s="63" t="n"/>
    </row>
  </sheetData>
  <autoFilter ref="A4:L82"/>
  <mergeCells count="2">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47" min="1" max="1"/>
    <col width="46" customWidth="1" style="47" min="2" max="2"/>
    <col width="16" customWidth="1" style="47" min="3" max="3"/>
    <col width="14" customWidth="1" style="47" min="4" max="5"/>
    <col width="16" customWidth="1" style="47" min="6" max="6"/>
    <col width="40" customWidth="1" style="47" min="7" max="7"/>
  </cols>
  <sheetData>
    <row r="1" ht="27.75" customHeight="1" s="48">
      <c r="A1" s="49" t="inlineStr">
        <is>
          <t>MODULE-WISE DURATION SUMMARY</t>
        </is>
      </c>
    </row>
    <row r="2" ht="19.5" customHeight="1" s="48">
      <c r="A2" s="50" t="inlineStr">
        <is>
          <t>Total must equal 2,400 minutes (40 hours)</t>
        </is>
      </c>
    </row>
    <row r="4" ht="21.75" customHeight="1" s="48">
      <c r="A4" s="51" t="inlineStr">
        <is>
          <t>Module</t>
        </is>
      </c>
      <c r="B4" s="51" t="inlineStr">
        <is>
          <t>Module Name</t>
        </is>
      </c>
      <c r="C4" s="51" t="inlineStr">
        <is>
          <t>Topics</t>
        </is>
      </c>
      <c r="D4" s="51" t="inlineStr">
        <is>
          <t>Minutes</t>
        </is>
      </c>
      <c r="E4" s="51" t="inlineStr">
        <is>
          <t>Hours</t>
        </is>
      </c>
      <c r="F4" s="51" t="inlineStr">
        <is>
          <t>% of Program</t>
        </is>
      </c>
      <c r="G4" s="51" t="inlineStr">
        <is>
          <t>Suggested Day</t>
        </is>
      </c>
    </row>
    <row r="5" ht="15" customHeight="1" s="48">
      <c r="A5" s="64" t="inlineStr">
        <is>
          <t>Module 1</t>
        </is>
      </c>
      <c r="B5" s="65" t="inlineStr">
        <is>
          <t>Python Foundations for Data Science</t>
        </is>
      </c>
      <c r="C5" s="66">
        <f>COUNTIF('Course ToC'!$A$5:$A$82,A5)</f>
        <v/>
      </c>
      <c r="D5" s="66">
        <f>SUMIF('Course ToC'!$A$5:$A$82,A5,'Course ToC'!$H$5:$H$82)</f>
        <v/>
      </c>
      <c r="E5" s="66">
        <f>ROUND(D5/60,2)</f>
        <v/>
      </c>
      <c r="F5" s="67">
        <f>D5/$D$15</f>
        <v/>
      </c>
      <c r="G5" s="66" t="inlineStr">
        <is>
          <t>Day 1</t>
        </is>
      </c>
    </row>
    <row r="6" ht="15" customHeight="1" s="48">
      <c r="A6" s="68" t="inlineStr">
        <is>
          <t>Module 2</t>
        </is>
      </c>
      <c r="B6" s="69" t="inlineStr">
        <is>
          <t>Advanced Python &amp; Engineering Practices</t>
        </is>
      </c>
      <c r="C6" s="70">
        <f>COUNTIF('Course ToC'!$A$5:$A$82,A6)</f>
        <v/>
      </c>
      <c r="D6" s="70">
        <f>SUMIF('Course ToC'!$A$5:$A$82,A6,'Course ToC'!$H$5:$H$82)</f>
        <v/>
      </c>
      <c r="E6" s="70">
        <f>ROUND(D6/60,2)</f>
        <v/>
      </c>
      <c r="F6" s="71">
        <f>D6/$D$15</f>
        <v/>
      </c>
      <c r="G6" s="70" t="inlineStr">
        <is>
          <t>Day 2</t>
        </is>
      </c>
    </row>
    <row r="7" ht="15" customHeight="1" s="48">
      <c r="A7" s="64" t="inlineStr">
        <is>
          <t>Module 3</t>
        </is>
      </c>
      <c r="B7" s="65" t="inlineStr">
        <is>
          <t>NumPy for Numerical Computing</t>
        </is>
      </c>
      <c r="C7" s="66">
        <f>COUNTIF('Course ToC'!$A$5:$A$82,A7)</f>
        <v/>
      </c>
      <c r="D7" s="66">
        <f>SUMIF('Course ToC'!$A$5:$A$82,A7,'Course ToC'!$H$5:$H$82)</f>
        <v/>
      </c>
      <c r="E7" s="66">
        <f>ROUND(D7/60,2)</f>
        <v/>
      </c>
      <c r="F7" s="67">
        <f>D7/$D$15</f>
        <v/>
      </c>
      <c r="G7" s="66" t="inlineStr">
        <is>
          <t>Day 3</t>
        </is>
      </c>
    </row>
    <row r="8" ht="15" customHeight="1" s="48">
      <c r="A8" s="68" t="inlineStr">
        <is>
          <t>Module 4</t>
        </is>
      </c>
      <c r="B8" s="69" t="inlineStr">
        <is>
          <t>Pandas for Data Analysis</t>
        </is>
      </c>
      <c r="C8" s="70">
        <f>COUNTIF('Course ToC'!$A$5:$A$82,A8)</f>
        <v/>
      </c>
      <c r="D8" s="70">
        <f>SUMIF('Course ToC'!$A$5:$A$82,A8,'Course ToC'!$H$5:$H$82)</f>
        <v/>
      </c>
      <c r="E8" s="70">
        <f>ROUND(D8/60,2)</f>
        <v/>
      </c>
      <c r="F8" s="71">
        <f>D8/$D$15</f>
        <v/>
      </c>
      <c r="G8" s="70" t="inlineStr">
        <is>
          <t>Day 3-4</t>
        </is>
      </c>
    </row>
    <row r="9" ht="15" customHeight="1" s="48">
      <c r="A9" s="64" t="inlineStr">
        <is>
          <t>Module 5</t>
        </is>
      </c>
      <c r="B9" s="65" t="inlineStr">
        <is>
          <t>Data Cleaning, Wrangling &amp; Feature Engineering</t>
        </is>
      </c>
      <c r="C9" s="66">
        <f>COUNTIF('Course ToC'!$A$5:$A$82,A9)</f>
        <v/>
      </c>
      <c r="D9" s="66">
        <f>SUMIF('Course ToC'!$A$5:$A$82,A9,'Course ToC'!$H$5:$H$82)</f>
        <v/>
      </c>
      <c r="E9" s="66">
        <f>ROUND(D9/60,2)</f>
        <v/>
      </c>
      <c r="F9" s="67">
        <f>D9/$D$15</f>
        <v/>
      </c>
      <c r="G9" s="66" t="inlineStr">
        <is>
          <t>Day 5</t>
        </is>
      </c>
    </row>
    <row r="10" ht="15" customHeight="1" s="48">
      <c r="A10" s="68" t="inlineStr">
        <is>
          <t>Module 6</t>
        </is>
      </c>
      <c r="B10" s="69" t="inlineStr">
        <is>
          <t>Data Visualisation &amp; Exploratory Data Analysis</t>
        </is>
      </c>
      <c r="C10" s="70">
        <f>COUNTIF('Course ToC'!$A$5:$A$82,A10)</f>
        <v/>
      </c>
      <c r="D10" s="70">
        <f>SUMIF('Course ToC'!$A$5:$A$82,A10,'Course ToC'!$H$5:$H$82)</f>
        <v/>
      </c>
      <c r="E10" s="70">
        <f>ROUND(D10/60,2)</f>
        <v/>
      </c>
      <c r="F10" s="71">
        <f>D10/$D$15</f>
        <v/>
      </c>
      <c r="G10" s="70" t="inlineStr">
        <is>
          <t>Day 6</t>
        </is>
      </c>
    </row>
    <row r="11" ht="15" customHeight="1" s="48">
      <c r="A11" s="64" t="inlineStr">
        <is>
          <t>Module 7</t>
        </is>
      </c>
      <c r="B11" s="65" t="inlineStr">
        <is>
          <t>Statistics &amp; Machine Learning Theory</t>
        </is>
      </c>
      <c r="C11" s="66">
        <f>COUNTIF('Course ToC'!$A$5:$A$82,A11)</f>
        <v/>
      </c>
      <c r="D11" s="66">
        <f>SUMIF('Course ToC'!$A$5:$A$82,A11,'Course ToC'!$H$5:$H$82)</f>
        <v/>
      </c>
      <c r="E11" s="66">
        <f>ROUND(D11/60,2)</f>
        <v/>
      </c>
      <c r="F11" s="67">
        <f>D11/$D$15</f>
        <v/>
      </c>
      <c r="G11" s="66" t="inlineStr">
        <is>
          <t>Day 7</t>
        </is>
      </c>
    </row>
    <row r="12" ht="15" customHeight="1" s="48">
      <c r="A12" s="68" t="inlineStr">
        <is>
          <t>Module 8</t>
        </is>
      </c>
      <c r="B12" s="69" t="inlineStr">
        <is>
          <t>Machine Learning - Practical Implementation</t>
        </is>
      </c>
      <c r="C12" s="70">
        <f>COUNTIF('Course ToC'!$A$5:$A$82,A12)</f>
        <v/>
      </c>
      <c r="D12" s="70">
        <f>SUMIF('Course ToC'!$A$5:$A$82,A12,'Course ToC'!$H$5:$H$82)</f>
        <v/>
      </c>
      <c r="E12" s="70">
        <f>ROUND(D12/60,2)</f>
        <v/>
      </c>
      <c r="F12" s="71">
        <f>D12/$D$15</f>
        <v/>
      </c>
      <c r="G12" s="70" t="inlineStr">
        <is>
          <t>Day 8</t>
        </is>
      </c>
    </row>
    <row r="13" ht="23.25" customHeight="1" s="48">
      <c r="A13" s="64" t="inlineStr">
        <is>
          <t>Module 9</t>
        </is>
      </c>
      <c r="B13" s="65" t="inlineStr">
        <is>
          <t>Unsupervised Learning, Tuning, Pipelines &amp; Deployment</t>
        </is>
      </c>
      <c r="C13" s="66">
        <f>COUNTIF('Course ToC'!$A$5:$A$82,A13)</f>
        <v/>
      </c>
      <c r="D13" s="66">
        <f>SUMIF('Course ToC'!$A$5:$A$82,A13,'Course ToC'!$H$5:$H$82)</f>
        <v/>
      </c>
      <c r="E13" s="66">
        <f>ROUND(D13/60,2)</f>
        <v/>
      </c>
      <c r="F13" s="67">
        <f>D13/$D$15</f>
        <v/>
      </c>
      <c r="G13" s="66" t="inlineStr">
        <is>
          <t>Day 9</t>
        </is>
      </c>
    </row>
    <row r="14" ht="15" customHeight="1" s="48">
      <c r="A14" s="68" t="inlineStr">
        <is>
          <t>Module 10</t>
        </is>
      </c>
      <c r="B14" s="69" t="inlineStr">
        <is>
          <t>End-to-End Capstone Project</t>
        </is>
      </c>
      <c r="C14" s="70">
        <f>COUNTIF('Course ToC'!$A$5:$A$82,A14)</f>
        <v/>
      </c>
      <c r="D14" s="70">
        <f>SUMIF('Course ToC'!$A$5:$A$82,A14,'Course ToC'!$H$5:$H$82)</f>
        <v/>
      </c>
      <c r="E14" s="70">
        <f>ROUND(D14/60,2)</f>
        <v/>
      </c>
      <c r="F14" s="71">
        <f>D14/$D$15</f>
        <v/>
      </c>
      <c r="G14" s="70" t="inlineStr">
        <is>
          <t>Day 10</t>
        </is>
      </c>
    </row>
    <row r="15" ht="15" customHeight="1" s="48">
      <c r="A15" s="63" t="n"/>
      <c r="B15" s="63" t="inlineStr">
        <is>
          <t>TOTAL</t>
        </is>
      </c>
      <c r="C15" s="63">
        <f>SUM(C5:C14)</f>
        <v/>
      </c>
      <c r="D15" s="63">
        <f>SUM(D5:D14)</f>
        <v/>
      </c>
      <c r="E15" s="63">
        <f>ROUND(D15/60,2)</f>
        <v/>
      </c>
      <c r="F15" s="72">
        <f>SUM(F5:F14)</f>
        <v/>
      </c>
      <c r="G15" s="63" t="inlineStr">
        <is>
          <t>10 Days x 4 Hours</t>
        </is>
      </c>
    </row>
    <row r="17" ht="15" customHeight="1" s="48">
      <c r="B17" s="73" t="inlineStr">
        <is>
          <t>Note: Minutes and topic counts are formula-linked to the 'Course ToC' sheet and update automatically if any topic duration is edited.</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47" min="1" max="1"/>
    <col width="24" customWidth="1" style="47" min="2" max="2"/>
    <col width="34" customWidth="1" style="47" min="3" max="3"/>
    <col width="40" customWidth="1" style="47" min="4" max="5"/>
    <col width="14" customWidth="1" style="47" min="6" max="6"/>
  </cols>
  <sheetData>
    <row r="1" ht="27.75" customHeight="1" s="48">
      <c r="A1" s="49" t="inlineStr">
        <is>
          <t>TRAINING ROADMAP - 10 DAYS x 4 HOURS</t>
        </is>
      </c>
    </row>
    <row r="2" ht="19.5" customHeight="1" s="48">
      <c r="A2" s="50" t="inlineStr">
        <is>
          <t>Day-wise delivery plan, focus areas and daily outcomes</t>
        </is>
      </c>
    </row>
    <row r="4" ht="24" customHeight="1" s="48">
      <c r="A4" s="51" t="inlineStr">
        <is>
          <t>Day</t>
        </is>
      </c>
      <c r="B4" s="51" t="inlineStr">
        <is>
          <t>Modules Covered</t>
        </is>
      </c>
      <c r="C4" s="51" t="inlineStr">
        <is>
          <t>Focus Area</t>
        </is>
      </c>
      <c r="D4" s="51" t="inlineStr">
        <is>
          <t>Key Topics of the Day</t>
        </is>
      </c>
      <c r="E4" s="51" t="inlineStr">
        <is>
          <t>Day-End Outcome</t>
        </is>
      </c>
      <c r="F4" s="51" t="inlineStr">
        <is>
          <t>Duration (Min)</t>
        </is>
      </c>
    </row>
    <row r="5" ht="32.25" customHeight="1" s="48">
      <c r="A5" s="55" t="inlineStr">
        <is>
          <t>Day 1</t>
        </is>
      </c>
      <c r="B5" s="55" t="inlineStr">
        <is>
          <t>Module 1</t>
        </is>
      </c>
      <c r="C5" s="57" t="inlineStr">
        <is>
          <t>Python Core Foundations</t>
        </is>
      </c>
      <c r="D5" s="57" t="inlineStr">
        <is>
          <t>Environment setup; variables and data types; operators; I/O and strings; conditionals; loops; data structures; functions; lambda; comprehensions; quiz</t>
        </is>
      </c>
      <c r="E5" s="57" t="inlineStr">
        <is>
          <t>Participants can write clean, working Python programs using functions, collections and comprehensions</t>
        </is>
      </c>
      <c r="F5" s="58" t="n">
        <v>270</v>
      </c>
    </row>
    <row r="6" ht="42.75" customHeight="1" s="48">
      <c r="A6" s="59" t="inlineStr">
        <is>
          <t>Day 2</t>
        </is>
      </c>
      <c r="B6" s="59" t="inlineStr">
        <is>
          <t>Module 2</t>
        </is>
      </c>
      <c r="C6" s="61" t="inlineStr">
        <is>
          <t>Advanced Python &amp; Engineering Practices</t>
        </is>
      </c>
      <c r="D6" s="61" t="inlineStr">
        <is>
          <t>Exception handling and logging; file handling; OOP (classes, inheritance, polymorphism, abstraction); modules and packaging; generators and decorators; PEP 8, debugging and pytest</t>
        </is>
      </c>
      <c r="E6" s="61" t="inlineStr">
        <is>
          <t>Participants can structure Python as a tested, packaged, production-quality codebase</t>
        </is>
      </c>
      <c r="F6" s="62" t="n">
        <v>210</v>
      </c>
    </row>
    <row r="7" ht="32.25" customHeight="1" s="48">
      <c r="A7" s="55" t="inlineStr">
        <is>
          <t>Day 3</t>
        </is>
      </c>
      <c r="B7" s="55" t="inlineStr">
        <is>
          <t>Module 3 + Module 4 (part)</t>
        </is>
      </c>
      <c r="C7" s="57" t="inlineStr">
        <is>
          <t>NumPy &amp; Pandas Foundations</t>
        </is>
      </c>
      <c r="D7" s="57" t="inlineStr">
        <is>
          <t>ndarray, indexing, reshaping, broadcasting, vectorisation, linear algebra; Series and DataFrame; reading CSV, Excel, JSON and SQL</t>
        </is>
      </c>
      <c r="E7" s="57" t="inlineStr">
        <is>
          <t>Participants can perform vectorised numerical computing and ingest any enterprise data format</t>
        </is>
      </c>
      <c r="F7" s="58" t="n">
        <v>220</v>
      </c>
    </row>
    <row r="8" ht="32.25" customHeight="1" s="48">
      <c r="A8" s="59" t="inlineStr">
        <is>
          <t>Day 4</t>
        </is>
      </c>
      <c r="B8" s="59" t="inlineStr">
        <is>
          <t>Module 4 (remaining)</t>
        </is>
      </c>
      <c r="C8" s="61" t="inlineStr">
        <is>
          <t>Pandas Data Analysis</t>
        </is>
      </c>
      <c r="D8" s="61" t="inlineStr">
        <is>
          <t>loc/iloc/query selection; sorting and transformations; GroupBy and aggregations; merge, join and concat; pivot, melt and reshaping; time series basics</t>
        </is>
      </c>
      <c r="E8" s="61" t="inlineStr">
        <is>
          <t>Participants can analyse, aggregate, join and reshape multi-source data confidently</t>
        </is>
      </c>
      <c r="F8" s="62" t="n">
        <v>200</v>
      </c>
    </row>
    <row r="9" ht="42.75" customHeight="1" s="48">
      <c r="A9" s="55" t="inlineStr">
        <is>
          <t>Day 5</t>
        </is>
      </c>
      <c r="B9" s="55" t="inlineStr">
        <is>
          <t>Module 5</t>
        </is>
      </c>
      <c r="C9" s="57" t="inlineStr">
        <is>
          <t>Data Cleaning &amp; Feature Engineering</t>
        </is>
      </c>
      <c r="D9" s="57" t="inlineStr">
        <is>
          <t>Data profiling and quality scorecard; missing values; duplicates and outliers; encoding; scaling and transformation; feature engineering and selection; data leakage</t>
        </is>
      </c>
      <c r="E9" s="57" t="inlineStr">
        <is>
          <t>Participants can turn a messy raw dataset into a clean, leakage-free modelling dataset</t>
        </is>
      </c>
      <c r="F9" s="58" t="n">
        <v>210</v>
      </c>
    </row>
    <row r="10" ht="32.25" customHeight="1" s="48">
      <c r="A10" s="59" t="inlineStr">
        <is>
          <t>Day 6</t>
        </is>
      </c>
      <c r="B10" s="59" t="inlineStr">
        <is>
          <t>Module 6</t>
        </is>
      </c>
      <c r="C10" s="61" t="inlineStr">
        <is>
          <t>Visualisation &amp; EDA</t>
        </is>
      </c>
      <c r="D10" s="61" t="inlineStr">
        <is>
          <t>Matplotlib fundamentals; distribution, relationship and categorical plots; correlation heatmaps; Seaborn facets and theming; structured EDA and storytelling</t>
        </is>
      </c>
      <c r="E10" s="61" t="inlineStr">
        <is>
          <t>Participants can run a full EDA and present quantified insights to a business audience</t>
        </is>
      </c>
      <c r="F10" s="62" t="n">
        <v>210</v>
      </c>
    </row>
    <row r="11" ht="42.75" customHeight="1" s="48">
      <c r="A11" s="55" t="inlineStr">
        <is>
          <t>Day 7</t>
        </is>
      </c>
      <c r="B11" s="55" t="inlineStr">
        <is>
          <t>Module 7</t>
        </is>
      </c>
      <c r="C11" s="57" t="inlineStr">
        <is>
          <t>Statistics &amp; Machine Learning Theory</t>
        </is>
      </c>
      <c r="D11" s="57" t="inlineStr">
        <is>
          <t>Statistics for ML; AI vs ML vs DL; types of ML; ML lifecycle and problem framing; train/test split and cross validation; bias-variance, overfitting and underfitting; regression and classification metrics</t>
        </is>
      </c>
      <c r="E11" s="57" t="inlineStr">
        <is>
          <t>Participants can frame an ML problem correctly and choose an appropriate validation strategy and metric</t>
        </is>
      </c>
      <c r="F11" s="58" t="n">
        <v>240</v>
      </c>
    </row>
    <row r="12" ht="42.75" customHeight="1" s="48">
      <c r="A12" s="59" t="inlineStr">
        <is>
          <t>Day 8</t>
        </is>
      </c>
      <c r="B12" s="59" t="inlineStr">
        <is>
          <t>Module 8</t>
        </is>
      </c>
      <c r="C12" s="61" t="inlineStr">
        <is>
          <t>Machine Learning Implementation</t>
        </is>
      </c>
      <c r="D12" s="61" t="inlineStr">
        <is>
          <t>scikit-learn API and baselines; linear and regularised regression; logistic regression; decision trees; random forest; boosting and XGBoost; KNN, Naive Bayes and SVM; model comparison</t>
        </is>
      </c>
      <c r="E12" s="61" t="inlineStr">
        <is>
          <t>Participants can build, evaluate and compare a full portfolio of supervised models</t>
        </is>
      </c>
      <c r="F12" s="62" t="n">
        <v>330</v>
      </c>
    </row>
    <row r="13" ht="42.75" customHeight="1" s="48">
      <c r="A13" s="55" t="inlineStr">
        <is>
          <t>Day 9</t>
        </is>
      </c>
      <c r="B13" s="55" t="inlineStr">
        <is>
          <t>Module 9</t>
        </is>
      </c>
      <c r="C13" s="57" t="inlineStr">
        <is>
          <t>Unsupervised Learning, Tuning &amp; Deployment</t>
        </is>
      </c>
      <c r="D13" s="57" t="inlineStr">
        <is>
          <t>K-Means, hierarchical clustering and DBSCAN; PCA; hyperparameter tuning; Pipelines and ColumnTransformer; model persistence and a FastAPI scoring endpoint; SHAP and responsible AI</t>
        </is>
      </c>
      <c r="E13" s="57" t="inlineStr">
        <is>
          <t>Participants can tune, package and serve a model and explain its behaviour</t>
        </is>
      </c>
      <c r="F13" s="58" t="n">
        <v>240</v>
      </c>
    </row>
    <row r="14" ht="42.75" customHeight="1" s="48">
      <c r="A14" s="59" t="inlineStr">
        <is>
          <t>Day 10</t>
        </is>
      </c>
      <c r="B14" s="59" t="inlineStr">
        <is>
          <t>Module 10</t>
        </is>
      </c>
      <c r="C14" s="61" t="inlineStr">
        <is>
          <t>End-to-End Capstone Project</t>
        </is>
      </c>
      <c r="D14" s="61" t="inlineStr">
        <is>
          <t>Problem framing; data ingestion; cleaning; EDA; feature engineering; model building; tuning and selection; business insights; presentation and code walkthrough</t>
        </is>
      </c>
      <c r="E14" s="61" t="inlineStr">
        <is>
          <t>Participants deliver a complete, enterprise-style ML project and present it</t>
        </is>
      </c>
      <c r="F14" s="62" t="n">
        <v>270</v>
      </c>
    </row>
    <row r="15" ht="15" customHeight="1" s="48">
      <c r="A15" s="63" t="n"/>
      <c r="B15" s="63" t="n"/>
      <c r="C15" s="63" t="n"/>
      <c r="D15" s="63" t="n"/>
      <c r="E15" s="63" t="inlineStr">
        <is>
          <t>TOTAL</t>
        </is>
      </c>
      <c r="F15" s="63">
        <f>SUM(F5:F14)</f>
        <v/>
      </c>
    </row>
    <row r="17" ht="15" customHeight="1" s="48">
      <c r="A17" s="73" t="inlineStr">
        <is>
          <t>Suggested daily structure: 10:00-11:30 concept and live coding | 11:30-11:45 break | 11:45-13:15 guided hands-on lab | 13:15-14:00 lab review, doubt clearing and deliverable submission.</t>
        </is>
      </c>
    </row>
  </sheetData>
  <autoFilter ref="A4: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47" min="1" max="1"/>
    <col width="26" customWidth="1" style="47" min="2" max="2"/>
    <col width="16" customWidth="1" style="47" min="3" max="3"/>
    <col width="14" customWidth="1" style="47" min="4" max="4"/>
    <col width="46" customWidth="1" style="47" min="5" max="5"/>
    <col width="34" customWidth="1" style="47" min="6" max="6"/>
    <col width="18" customWidth="1" style="47" min="7" max="7"/>
  </cols>
  <sheetData>
    <row r="1" ht="27.75" customHeight="1" s="48">
      <c r="A1" s="49" t="inlineStr">
        <is>
          <t>REQUIRED SOFTWARE &amp; INSTALLATION GUIDE</t>
        </is>
      </c>
    </row>
    <row r="2" ht="19.5" customHeight="1" s="48">
      <c r="A2" s="50" t="inlineStr">
        <is>
          <t>To be completed and verified by every participant before Day 1</t>
        </is>
      </c>
    </row>
    <row r="4" ht="24" customHeight="1" s="48">
      <c r="A4" s="51" t="inlineStr">
        <is>
          <t>S.No</t>
        </is>
      </c>
      <c r="B4" s="51" t="inlineStr">
        <is>
          <t>Software / Library</t>
        </is>
      </c>
      <c r="C4" s="51" t="inlineStr">
        <is>
          <t>Version</t>
        </is>
      </c>
      <c r="D4" s="51" t="inlineStr">
        <is>
          <t>Mandatory</t>
        </is>
      </c>
      <c r="E4" s="51" t="inlineStr">
        <is>
          <t>Installation Command / Steps</t>
        </is>
      </c>
      <c r="F4" s="51" t="inlineStr">
        <is>
          <t>Purpose</t>
        </is>
      </c>
      <c r="G4" s="51" t="inlineStr">
        <is>
          <t>Verification</t>
        </is>
      </c>
    </row>
    <row r="5" ht="21.75" customHeight="1" s="48">
      <c r="A5" s="58" t="n">
        <v>1</v>
      </c>
      <c r="B5" s="56" t="inlineStr">
        <is>
          <t>Anaconda Distribution</t>
        </is>
      </c>
      <c r="C5" s="58" t="inlineStr">
        <is>
          <t>2024.02+</t>
        </is>
      </c>
      <c r="D5" s="58" t="inlineStr">
        <is>
          <t>Yes</t>
        </is>
      </c>
      <c r="E5" s="57" t="inlineStr">
        <is>
          <t>Download from anaconda.com/download and run the installer; select 'Add to PATH' on Windows</t>
        </is>
      </c>
      <c r="F5" s="57" t="inlineStr">
        <is>
          <t>Bundles Python, Jupyter and the core data-science stack in one install</t>
        </is>
      </c>
      <c r="G5" s="57" t="inlineStr">
        <is>
          <t>conda --version</t>
        </is>
      </c>
    </row>
    <row r="6" ht="21.75" customHeight="1" s="48">
      <c r="A6" s="62" t="n">
        <v>2</v>
      </c>
      <c r="B6" s="60" t="inlineStr">
        <is>
          <t>Python</t>
        </is>
      </c>
      <c r="C6" s="62" t="inlineStr">
        <is>
          <t>3.10 - 3.11</t>
        </is>
      </c>
      <c r="D6" s="62" t="inlineStr">
        <is>
          <t>Yes</t>
        </is>
      </c>
      <c r="E6" s="61" t="inlineStr">
        <is>
          <t>Included with Anaconda; otherwise download from python.org</t>
        </is>
      </c>
      <c r="F6" s="61" t="inlineStr">
        <is>
          <t>Core programming language for the entire program</t>
        </is>
      </c>
      <c r="G6" s="61" t="inlineStr">
        <is>
          <t>python --version</t>
        </is>
      </c>
    </row>
    <row r="7" ht="21.75" customHeight="1" s="48">
      <c r="A7" s="58" t="n">
        <v>3</v>
      </c>
      <c r="B7" s="56" t="inlineStr">
        <is>
          <t>JupyterLab / Jupyter Notebook</t>
        </is>
      </c>
      <c r="C7" s="58" t="inlineStr">
        <is>
          <t>4.0+</t>
        </is>
      </c>
      <c r="D7" s="58" t="inlineStr">
        <is>
          <t>Yes</t>
        </is>
      </c>
      <c r="E7" s="57" t="inlineStr">
        <is>
          <t>conda install -c conda-forge jupyterlab</t>
        </is>
      </c>
      <c r="F7" s="57" t="inlineStr">
        <is>
          <t>Primary interactive development environment for all labs</t>
        </is>
      </c>
      <c r="G7" s="57" t="inlineStr">
        <is>
          <t>jupyter lab --version</t>
        </is>
      </c>
    </row>
    <row r="8" ht="21.75" customHeight="1" s="48">
      <c r="A8" s="62" t="n">
        <v>4</v>
      </c>
      <c r="B8" s="60" t="inlineStr">
        <is>
          <t>Visual Studio Code</t>
        </is>
      </c>
      <c r="C8" s="62" t="inlineStr">
        <is>
          <t>Latest</t>
        </is>
      </c>
      <c r="D8" s="62" t="inlineStr">
        <is>
          <t>Yes</t>
        </is>
      </c>
      <c r="E8" s="61" t="inlineStr">
        <is>
          <t>Download from code.visualstudio.com and install the Python and Jupyter extensions</t>
        </is>
      </c>
      <c r="F8" s="61" t="inlineStr">
        <is>
          <t>Script development, packaging, debugging and testing</t>
        </is>
      </c>
      <c r="G8" s="61" t="inlineStr">
        <is>
          <t>code --version</t>
        </is>
      </c>
    </row>
    <row r="9" ht="21.75" customHeight="1" s="48">
      <c r="A9" s="58" t="n">
        <v>5</v>
      </c>
      <c r="B9" s="56" t="inlineStr">
        <is>
          <t>NumPy</t>
        </is>
      </c>
      <c r="C9" s="58" t="inlineStr">
        <is>
          <t>1.26+</t>
        </is>
      </c>
      <c r="D9" s="58" t="inlineStr">
        <is>
          <t>Yes</t>
        </is>
      </c>
      <c r="E9" s="57" t="inlineStr">
        <is>
          <t>pip install numpy</t>
        </is>
      </c>
      <c r="F9" s="57" t="inlineStr">
        <is>
          <t>Numerical computing and array operations (Module 3)</t>
        </is>
      </c>
      <c r="G9" s="57" t="inlineStr">
        <is>
          <t>import numpy; numpy.__version__</t>
        </is>
      </c>
    </row>
    <row r="10" ht="21.75" customHeight="1" s="48">
      <c r="A10" s="62" t="n">
        <v>6</v>
      </c>
      <c r="B10" s="60" t="inlineStr">
        <is>
          <t>Pandas</t>
        </is>
      </c>
      <c r="C10" s="62" t="inlineStr">
        <is>
          <t>2.1+</t>
        </is>
      </c>
      <c r="D10" s="62" t="inlineStr">
        <is>
          <t>Yes</t>
        </is>
      </c>
      <c r="E10" s="61" t="inlineStr">
        <is>
          <t>pip install pandas</t>
        </is>
      </c>
      <c r="F10" s="61" t="inlineStr">
        <is>
          <t>Data analysis, wrangling and aggregation (Modules 4-5)</t>
        </is>
      </c>
      <c r="G10" s="61" t="inlineStr">
        <is>
          <t>import pandas; pandas.__version__</t>
        </is>
      </c>
    </row>
    <row r="11" ht="15" customHeight="1" s="48">
      <c r="A11" s="58" t="n">
        <v>7</v>
      </c>
      <c r="B11" s="56" t="inlineStr">
        <is>
          <t>Matplotlib</t>
        </is>
      </c>
      <c r="C11" s="58" t="inlineStr">
        <is>
          <t>3.8+</t>
        </is>
      </c>
      <c r="D11" s="58" t="inlineStr">
        <is>
          <t>Yes</t>
        </is>
      </c>
      <c r="E11" s="57" t="inlineStr">
        <is>
          <t>pip install matplotlib</t>
        </is>
      </c>
      <c r="F11" s="57" t="inlineStr">
        <is>
          <t>Core plotting and figure control (Module 6)</t>
        </is>
      </c>
      <c r="G11" s="57" t="inlineStr">
        <is>
          <t>import matplotlib</t>
        </is>
      </c>
    </row>
    <row r="12" ht="21.75" customHeight="1" s="48">
      <c r="A12" s="62" t="n">
        <v>8</v>
      </c>
      <c r="B12" s="60" t="inlineStr">
        <is>
          <t>Seaborn</t>
        </is>
      </c>
      <c r="C12" s="62" t="inlineStr">
        <is>
          <t>0.13+</t>
        </is>
      </c>
      <c r="D12" s="62" t="inlineStr">
        <is>
          <t>Yes</t>
        </is>
      </c>
      <c r="E12" s="61" t="inlineStr">
        <is>
          <t>pip install seaborn</t>
        </is>
      </c>
      <c r="F12" s="61" t="inlineStr">
        <is>
          <t>Statistical visualisation and faceting (Module 6)</t>
        </is>
      </c>
      <c r="G12" s="61" t="inlineStr">
        <is>
          <t>import seaborn</t>
        </is>
      </c>
    </row>
    <row r="13" ht="21.75" customHeight="1" s="48">
      <c r="A13" s="58" t="n">
        <v>9</v>
      </c>
      <c r="B13" s="56" t="inlineStr">
        <is>
          <t>scikit-learn</t>
        </is>
      </c>
      <c r="C13" s="58" t="inlineStr">
        <is>
          <t>1.4+</t>
        </is>
      </c>
      <c r="D13" s="58" t="inlineStr">
        <is>
          <t>Yes</t>
        </is>
      </c>
      <c r="E13" s="57" t="inlineStr">
        <is>
          <t>pip install scikit-learn</t>
        </is>
      </c>
      <c r="F13" s="57" t="inlineStr">
        <is>
          <t>Machine learning algorithms, pipelines and metrics (Modules 7-10)</t>
        </is>
      </c>
      <c r="G13" s="57" t="inlineStr">
        <is>
          <t>import sklearn; sklearn.__version__</t>
        </is>
      </c>
    </row>
    <row r="14" ht="21.75" customHeight="1" s="48">
      <c r="A14" s="62" t="n">
        <v>10</v>
      </c>
      <c r="B14" s="60" t="inlineStr">
        <is>
          <t>SciPy</t>
        </is>
      </c>
      <c r="C14" s="62" t="inlineStr">
        <is>
          <t>1.11+</t>
        </is>
      </c>
      <c r="D14" s="62" t="inlineStr">
        <is>
          <t>Yes</t>
        </is>
      </c>
      <c r="E14" s="61" t="inlineStr">
        <is>
          <t>pip install scipy</t>
        </is>
      </c>
      <c r="F14" s="61" t="inlineStr">
        <is>
          <t>Statistical tests and scientific computing (Module 7)</t>
        </is>
      </c>
      <c r="G14" s="61" t="inlineStr">
        <is>
          <t>import scipy</t>
        </is>
      </c>
    </row>
    <row r="15" ht="21.75" customHeight="1" s="48">
      <c r="A15" s="58" t="n">
        <v>11</v>
      </c>
      <c r="B15" s="56" t="inlineStr">
        <is>
          <t>statsmodels</t>
        </is>
      </c>
      <c r="C15" s="58" t="inlineStr">
        <is>
          <t>0.14+</t>
        </is>
      </c>
      <c r="D15" s="58" t="inlineStr">
        <is>
          <t>Yes</t>
        </is>
      </c>
      <c r="E15" s="57" t="inlineStr">
        <is>
          <t>pip install statsmodels</t>
        </is>
      </c>
      <c r="F15" s="57" t="inlineStr">
        <is>
          <t>Regression diagnostics, VIF and statistical summaries</t>
        </is>
      </c>
      <c r="G15" s="57" t="inlineStr">
        <is>
          <t>import statsmodels</t>
        </is>
      </c>
    </row>
    <row r="16" ht="15" customHeight="1" s="48">
      <c r="A16" s="62" t="n">
        <v>12</v>
      </c>
      <c r="B16" s="60" t="inlineStr">
        <is>
          <t>openpyxl</t>
        </is>
      </c>
      <c r="C16" s="62" t="inlineStr">
        <is>
          <t>3.1+</t>
        </is>
      </c>
      <c r="D16" s="62" t="inlineStr">
        <is>
          <t>Yes</t>
        </is>
      </c>
      <c r="E16" s="61" t="inlineStr">
        <is>
          <t>pip install openpyxl</t>
        </is>
      </c>
      <c r="F16" s="61" t="inlineStr">
        <is>
          <t>Reading and writing Excel files with Pandas</t>
        </is>
      </c>
      <c r="G16" s="61" t="inlineStr">
        <is>
          <t>import openpyxl</t>
        </is>
      </c>
    </row>
    <row r="17" ht="21.75" customHeight="1" s="48">
      <c r="A17" s="58" t="n">
        <v>13</v>
      </c>
      <c r="B17" s="56" t="inlineStr">
        <is>
          <t>XGBoost</t>
        </is>
      </c>
      <c r="C17" s="58" t="inlineStr">
        <is>
          <t>2.0+</t>
        </is>
      </c>
      <c r="D17" s="58" t="inlineStr">
        <is>
          <t>Recommended</t>
        </is>
      </c>
      <c r="E17" s="57" t="inlineStr">
        <is>
          <t>pip install xgboost</t>
        </is>
      </c>
      <c r="F17" s="57" t="inlineStr">
        <is>
          <t>Gradient boosting for tabular data (Module 8.7)</t>
        </is>
      </c>
      <c r="G17" s="57" t="inlineStr">
        <is>
          <t>import xgboost</t>
        </is>
      </c>
    </row>
    <row r="18" ht="21.75" customHeight="1" s="48">
      <c r="A18" s="62" t="n">
        <v>14</v>
      </c>
      <c r="B18" s="60" t="inlineStr">
        <is>
          <t>imbalanced-learn</t>
        </is>
      </c>
      <c r="C18" s="62" t="inlineStr">
        <is>
          <t>0.12+</t>
        </is>
      </c>
      <c r="D18" s="62" t="inlineStr">
        <is>
          <t>Recommended</t>
        </is>
      </c>
      <c r="E18" s="61" t="inlineStr">
        <is>
          <t>pip install imbalanced-learn</t>
        </is>
      </c>
      <c r="F18" s="61" t="inlineStr">
        <is>
          <t>SMOTE and resampling for class imbalance (Module 7.8)</t>
        </is>
      </c>
      <c r="G18" s="61" t="inlineStr">
        <is>
          <t>import imblearn</t>
        </is>
      </c>
    </row>
    <row r="19" ht="21.75" customHeight="1" s="48">
      <c r="A19" s="58" t="n">
        <v>15</v>
      </c>
      <c r="B19" s="56" t="inlineStr">
        <is>
          <t>SHAP</t>
        </is>
      </c>
      <c r="C19" s="58" t="inlineStr">
        <is>
          <t>0.44+</t>
        </is>
      </c>
      <c r="D19" s="58" t="inlineStr">
        <is>
          <t>Recommended</t>
        </is>
      </c>
      <c r="E19" s="57" t="inlineStr">
        <is>
          <t>pip install shap</t>
        </is>
      </c>
      <c r="F19" s="57" t="inlineStr">
        <is>
          <t>Model explainability and driver analysis (Module 9.7)</t>
        </is>
      </c>
      <c r="G19" s="57" t="inlineStr">
        <is>
          <t>import shap</t>
        </is>
      </c>
    </row>
    <row r="20" ht="21.75" customHeight="1" s="48">
      <c r="A20" s="62" t="n">
        <v>16</v>
      </c>
      <c r="B20" s="60" t="inlineStr">
        <is>
          <t>Optuna</t>
        </is>
      </c>
      <c r="C20" s="62" t="inlineStr">
        <is>
          <t>3.5+</t>
        </is>
      </c>
      <c r="D20" s="62" t="inlineStr">
        <is>
          <t>Optional</t>
        </is>
      </c>
      <c r="E20" s="61" t="inlineStr">
        <is>
          <t>pip install optuna</t>
        </is>
      </c>
      <c r="F20" s="61" t="inlineStr">
        <is>
          <t>Bayesian hyperparameter optimisation (Module 9.4)</t>
        </is>
      </c>
      <c r="G20" s="61" t="inlineStr">
        <is>
          <t>import optuna</t>
        </is>
      </c>
    </row>
    <row r="21" ht="21.75" customHeight="1" s="48">
      <c r="A21" s="58" t="n">
        <v>17</v>
      </c>
      <c r="B21" s="56" t="inlineStr">
        <is>
          <t>FastAPI + Uvicorn</t>
        </is>
      </c>
      <c r="C21" s="58" t="inlineStr">
        <is>
          <t>Latest</t>
        </is>
      </c>
      <c r="D21" s="58" t="inlineStr">
        <is>
          <t>Recommended</t>
        </is>
      </c>
      <c r="E21" s="57" t="inlineStr">
        <is>
          <t>pip install fastapi uvicorn</t>
        </is>
      </c>
      <c r="F21" s="57" t="inlineStr">
        <is>
          <t>Exposing the trained model as a REST scoring service (Module 9.6)</t>
        </is>
      </c>
      <c r="G21" s="57" t="inlineStr">
        <is>
          <t>uvicorn --version</t>
        </is>
      </c>
    </row>
    <row r="22" ht="15" customHeight="1" s="48">
      <c r="A22" s="62" t="n">
        <v>18</v>
      </c>
      <c r="B22" s="60" t="inlineStr">
        <is>
          <t>pytest</t>
        </is>
      </c>
      <c r="C22" s="62" t="inlineStr">
        <is>
          <t>8.0+</t>
        </is>
      </c>
      <c r="D22" s="62" t="inlineStr">
        <is>
          <t>Recommended</t>
        </is>
      </c>
      <c r="E22" s="61" t="inlineStr">
        <is>
          <t>pip install pytest</t>
        </is>
      </c>
      <c r="F22" s="61" t="inlineStr">
        <is>
          <t>Unit testing of Python utilities (Module 2.7)</t>
        </is>
      </c>
      <c r="G22" s="61" t="inlineStr">
        <is>
          <t>pytest --version</t>
        </is>
      </c>
    </row>
    <row r="23" ht="21.75" customHeight="1" s="48">
      <c r="A23" s="58" t="n">
        <v>19</v>
      </c>
      <c r="B23" s="56" t="inlineStr">
        <is>
          <t>black + flake8</t>
        </is>
      </c>
      <c r="C23" s="58" t="inlineStr">
        <is>
          <t>Latest</t>
        </is>
      </c>
      <c r="D23" s="58" t="inlineStr">
        <is>
          <t>Optional</t>
        </is>
      </c>
      <c r="E23" s="57" t="inlineStr">
        <is>
          <t>pip install black flake8</t>
        </is>
      </c>
      <c r="F23" s="57" t="inlineStr">
        <is>
          <t>Code formatting and linting to PEP 8 (Module 2.7)</t>
        </is>
      </c>
      <c r="G23" s="57" t="inlineStr">
        <is>
          <t>black --version</t>
        </is>
      </c>
    </row>
    <row r="24" ht="21.75" customHeight="1" s="48">
      <c r="A24" s="62" t="n">
        <v>20</v>
      </c>
      <c r="B24" s="60" t="inlineStr">
        <is>
          <t>ydata-profiling</t>
        </is>
      </c>
      <c r="C24" s="62" t="inlineStr">
        <is>
          <t>4.6+</t>
        </is>
      </c>
      <c r="D24" s="62" t="inlineStr">
        <is>
          <t>Optional</t>
        </is>
      </c>
      <c r="E24" s="61" t="inlineStr">
        <is>
          <t>pip install ydata-profiling</t>
        </is>
      </c>
      <c r="F24" s="61" t="inlineStr">
        <is>
          <t>Automated data profiling reports (Module 5.1)</t>
        </is>
      </c>
      <c r="G24" s="61" t="inlineStr">
        <is>
          <t>import ydata_profiling</t>
        </is>
      </c>
    </row>
    <row r="25" ht="21.75" customHeight="1" s="48">
      <c r="A25" s="58" t="n">
        <v>21</v>
      </c>
      <c r="B25" s="56" t="inlineStr">
        <is>
          <t>category_encoders</t>
        </is>
      </c>
      <c r="C25" s="58" t="inlineStr">
        <is>
          <t>2.6+</t>
        </is>
      </c>
      <c r="D25" s="58" t="inlineStr">
        <is>
          <t>Optional</t>
        </is>
      </c>
      <c r="E25" s="57" t="inlineStr">
        <is>
          <t>pip install category_encoders</t>
        </is>
      </c>
      <c r="F25" s="57" t="inlineStr">
        <is>
          <t>Target and frequency encoding (Module 5.4)</t>
        </is>
      </c>
      <c r="G25" s="57" t="inlineStr">
        <is>
          <t>import category_encoders</t>
        </is>
      </c>
    </row>
    <row r="26" ht="21.75" customHeight="1" s="48">
      <c r="A26" s="62" t="n">
        <v>22</v>
      </c>
      <c r="B26" s="60" t="inlineStr">
        <is>
          <t>Git</t>
        </is>
      </c>
      <c r="C26" s="62" t="inlineStr">
        <is>
          <t>2.4+</t>
        </is>
      </c>
      <c r="D26" s="62" t="inlineStr">
        <is>
          <t>Recommended</t>
        </is>
      </c>
      <c r="E26" s="61" t="inlineStr">
        <is>
          <t>Download from git-scm.com</t>
        </is>
      </c>
      <c r="F26" s="61" t="inlineStr">
        <is>
          <t>Version control for the capstone repository (Module 10)</t>
        </is>
      </c>
      <c r="G26" s="61" t="inlineStr">
        <is>
          <t>git --version</t>
        </is>
      </c>
    </row>
    <row r="28" ht="15" customHeight="1" s="48">
      <c r="A28" s="74" t="inlineStr">
        <is>
          <t>ONE-LINE SETUP (recommended): conda create -n pyds python=3.11 -y  &amp;&amp;  conda activate pyds  &amp;&amp;  pip install -r requirements.txt</t>
        </is>
      </c>
    </row>
    <row r="29" ht="15" customHeight="1" s="48">
      <c r="A29" s="74" t="inlineStr">
        <is>
          <t>Hardware minimum: 8 GB RAM (16 GB recommended), 20 GB free disk, dual-core processor or better.</t>
        </is>
      </c>
    </row>
    <row r="30" ht="15" customHeight="1" s="48">
      <c r="A30" s="74" t="inlineStr">
        <is>
          <t>Corporate laptops: confirm administrator rights and proxy or firewall exceptions for pypi.org, anaconda.org, files.pythonhosted.org and github.com at least 3 working days before Day 1.</t>
        </is>
      </c>
    </row>
    <row r="31" ht="15" customHeight="1" s="48">
      <c r="A31" s="74" t="inlineStr">
        <is>
          <t>Cloud fallback if local installation is blocked: Google Colab (colab.research.google.com) or Kaggle Notebooks - both come with the full stack pre-installed and require only a browser.</t>
        </is>
      </c>
    </row>
    <row r="32" ht="15" customHeight="1" s="48">
      <c r="A32" s="74" t="inlineStr">
        <is>
          <t>A pre-training setup validation session is recommended 1-2 days before Day 1 so no classroom time is lost to installation issues.</t>
        </is>
      </c>
    </row>
    <row r="33" ht="22.35" customHeight="1" s="48">
      <c r="A33" s="74" t="inlineStr">
        <is>
          <t>PERSONAL ACCOUNTS AND TOOLING: No company software, licences or accounts will be provided. Every participant installs the stack on their own machine and uses a personal GitHub account for assignment submission. No organisation access, CI service or advanced permissions are required.</t>
        </is>
      </c>
    </row>
    <row r="34" ht="22.35" customHeight="1" s="48">
      <c r="A34" s="74" t="inlineStr">
        <is>
          <t>NO EMPLOYER CODE OR DATA: Labs, home assignments and the capstone use public datasets or the sample data supplied in class. No employer source code or confidential data should be placed in a personal repository.</t>
        </is>
      </c>
    </row>
  </sheetData>
  <autoFilter ref="A4:G26"/>
  <mergeCells count="9">
    <mergeCell ref="A32:G32"/>
    <mergeCell ref="A1:G1"/>
    <mergeCell ref="A31:G31"/>
    <mergeCell ref="A34:G34"/>
    <mergeCell ref="A30:G30"/>
    <mergeCell ref="A2:G2"/>
    <mergeCell ref="A29:G29"/>
    <mergeCell ref="A33:G33"/>
    <mergeCell ref="A28:G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47" min="1" max="1"/>
    <col width="34" customWidth="1" style="47" min="2" max="2"/>
    <col width="16" customWidth="1" style="47" min="3" max="3"/>
    <col width="14" customWidth="1" style="47" min="4" max="4"/>
    <col width="44" customWidth="1" style="47" min="5" max="6"/>
  </cols>
  <sheetData>
    <row r="1" ht="27.75" customHeight="1" s="48">
      <c r="A1" s="49" t="inlineStr">
        <is>
          <t>DATASETS &amp; LEARNING RESOURCES</t>
        </is>
      </c>
    </row>
    <row r="2" ht="19.5" customHeight="1" s="48">
      <c r="A2" s="50" t="inlineStr">
        <is>
          <t>Datasets used in the labs, plus curated post-training learning resources</t>
        </is>
      </c>
    </row>
    <row r="4" ht="15" customHeight="1" s="48">
      <c r="A4" s="75" t="inlineStr">
        <is>
          <t>SECTION A - DATASETS USED IN LABS</t>
        </is>
      </c>
    </row>
    <row r="5" ht="21.75" customHeight="1" s="48">
      <c r="A5" s="51" t="inlineStr">
        <is>
          <t>S.No</t>
        </is>
      </c>
      <c r="B5" s="51" t="inlineStr">
        <is>
          <t>Dataset Name</t>
        </is>
      </c>
      <c r="C5" s="51" t="inlineStr">
        <is>
          <t>Used In Module</t>
        </is>
      </c>
      <c r="D5" s="51" t="inlineStr">
        <is>
          <t>Approx. Size</t>
        </is>
      </c>
      <c r="E5" s="51" t="inlineStr">
        <is>
          <t>Source / How to Obtain</t>
        </is>
      </c>
      <c r="F5" s="51" t="inlineStr">
        <is>
          <t>Why This Dataset</t>
        </is>
      </c>
    </row>
    <row r="6" ht="32.25" customHeight="1" s="48">
      <c r="A6" s="58" t="n">
        <v>1</v>
      </c>
      <c r="B6" s="56" t="inlineStr">
        <is>
          <t>Telco Customer Churn</t>
        </is>
      </c>
      <c r="C6" s="58" t="inlineStr">
        <is>
          <t>Modules 4, 5, 6, 8, 10</t>
        </is>
      </c>
      <c r="D6" s="58" t="inlineStr">
        <is>
          <t>7,043 rows x 21 cols</t>
        </is>
      </c>
      <c r="E6" s="57" t="inlineStr">
        <is>
          <t>Kaggle - 'Telco Customer Churn' (IBM sample dataset); CSV mirrored in the course pack</t>
        </is>
      </c>
      <c r="F6" s="57" t="inlineStr">
        <is>
          <t>Mixed numeric and categorical columns, real missing values and mild class imbalance - the reference dataset for the whole program</t>
        </is>
      </c>
    </row>
    <row r="7" ht="21.75" customHeight="1" s="48">
      <c r="A7" s="62" t="n">
        <v>2</v>
      </c>
      <c r="B7" s="60" t="inlineStr">
        <is>
          <t>IBM HR Employee Attrition</t>
        </is>
      </c>
      <c r="C7" s="62" t="inlineStr">
        <is>
          <t>Modules 5, 8, 10 (alternate capstone)</t>
        </is>
      </c>
      <c r="D7" s="62" t="inlineStr">
        <is>
          <t>1,470 rows x 35 cols</t>
        </is>
      </c>
      <c r="E7" s="61" t="inlineStr">
        <is>
          <t>Kaggle - 'IBM HR Analytics Employee Attrition &amp; Performance'</t>
        </is>
      </c>
      <c r="F7" s="61" t="inlineStr">
        <is>
          <t>Rich categorical features and a clear business narrative for attrition-driver analysis</t>
        </is>
      </c>
    </row>
    <row r="8" ht="21.75" customHeight="1" s="48">
      <c r="A8" s="58" t="n">
        <v>3</v>
      </c>
      <c r="B8" s="56" t="inlineStr">
        <is>
          <t>Ames / Boston-style Housing</t>
        </is>
      </c>
      <c r="C8" s="58" t="inlineStr">
        <is>
          <t>Modules 3, 8.2, 8.3</t>
        </is>
      </c>
      <c r="D8" s="58" t="inlineStr">
        <is>
          <t>1,460 rows x 81 cols</t>
        </is>
      </c>
      <c r="E8" s="57" t="inlineStr">
        <is>
          <t>Kaggle - 'House Prices: Advanced Regression Techniques'</t>
        </is>
      </c>
      <c r="F8" s="57" t="inlineStr">
        <is>
          <t>The reference regression dataset - many features, skewed target and heavy missingness</t>
        </is>
      </c>
    </row>
    <row r="9" ht="21.75" customHeight="1" s="48">
      <c r="A9" s="62" t="n">
        <v>4</v>
      </c>
      <c r="B9" s="60" t="inlineStr">
        <is>
          <t>Loan Approval / Credit Risk</t>
        </is>
      </c>
      <c r="C9" s="62" t="inlineStr">
        <is>
          <t>Modules 8.4, 10 (alternate capstone)</t>
        </is>
      </c>
      <c r="D9" s="62" t="inlineStr">
        <is>
          <t>~600-10,000 rows</t>
        </is>
      </c>
      <c r="E9" s="61" t="inlineStr">
        <is>
          <t>Kaggle - 'Loan Prediction Problem' or 'Give Me Some Credit'</t>
        </is>
      </c>
      <c r="F9" s="61" t="inlineStr">
        <is>
          <t>Classification with real business cost asymmetry between false positives and false negatives</t>
        </is>
      </c>
    </row>
    <row r="10" ht="21.75" customHeight="1" s="48">
      <c r="A10" s="58" t="n">
        <v>5</v>
      </c>
      <c r="B10" s="56" t="inlineStr">
        <is>
          <t>Retail / E-commerce Transactions</t>
        </is>
      </c>
      <c r="C10" s="58" t="inlineStr">
        <is>
          <t>Modules 4.5, 4.6, 4.8, 9.1</t>
        </is>
      </c>
      <c r="D10" s="58" t="inlineStr">
        <is>
          <t>~540,000 rows</t>
        </is>
      </c>
      <c r="E10" s="57" t="inlineStr">
        <is>
          <t>UCI Machine Learning Repository - 'Online Retail'</t>
        </is>
      </c>
      <c r="F10" s="57" t="inlineStr">
        <is>
          <t>Volume, joins, time series and RFM feature engineering for segmentation</t>
        </is>
      </c>
    </row>
    <row r="11" ht="21.75" customHeight="1" s="48">
      <c r="A11" s="62" t="n">
        <v>6</v>
      </c>
      <c r="B11" s="60" t="inlineStr">
        <is>
          <t>Application Log Sample</t>
        </is>
      </c>
      <c r="C11" s="62" t="inlineStr">
        <is>
          <t>Modules 1.4, 2.1, 2.2, 2.6</t>
        </is>
      </c>
      <c r="D11" s="62" t="inlineStr">
        <is>
          <t>~50,000 lines</t>
        </is>
      </c>
      <c r="E11" s="61" t="inlineStr">
        <is>
          <t>Provided in the course pack (synthetic, anonymised)</t>
        </is>
      </c>
      <c r="F11" s="61" t="inlineStr">
        <is>
          <t>Domain-relevant text parsing for QA, SDET and support participants</t>
        </is>
      </c>
    </row>
    <row r="12" ht="21.75" customHeight="1" s="48">
      <c r="A12" s="58" t="n">
        <v>7</v>
      </c>
      <c r="B12" s="56" t="inlineStr">
        <is>
          <t>Test Execution Results</t>
        </is>
      </c>
      <c r="C12" s="58" t="inlineStr">
        <is>
          <t>Modules 1.3, 1.6, 2.2</t>
        </is>
      </c>
      <c r="D12" s="58" t="inlineStr">
        <is>
          <t>~5,000 rows</t>
        </is>
      </c>
      <c r="E12" s="57" t="inlineStr">
        <is>
          <t>Provided in the course pack (synthetic)</t>
        </is>
      </c>
      <c r="F12" s="57" t="inlineStr">
        <is>
          <t>Automation-metrics data that mirrors the participants' own day-to-day work</t>
        </is>
      </c>
    </row>
    <row r="13" ht="21.75" customHeight="1" s="48">
      <c r="A13" s="62" t="n">
        <v>8</v>
      </c>
      <c r="B13" s="60" t="inlineStr">
        <is>
          <t>Iris / Wine / Digits (built-in)</t>
        </is>
      </c>
      <c r="C13" s="62" t="inlineStr">
        <is>
          <t>Modules 7, 8.8, 9.3</t>
        </is>
      </c>
      <c r="D13" s="62" t="inlineStr">
        <is>
          <t>150-1,797 rows</t>
        </is>
      </c>
      <c r="E13" s="61" t="inlineStr">
        <is>
          <t>sklearn.datasets.load_iris(), load_wine(), load_digits()</t>
        </is>
      </c>
      <c r="F13" s="61" t="inlineStr">
        <is>
          <t>Instant, dependency-free datasets for demonstrating concepts without ingestion overhead</t>
        </is>
      </c>
    </row>
    <row r="14" ht="21.75" customHeight="1" s="48">
      <c r="A14" s="58" t="n">
        <v>9</v>
      </c>
      <c r="B14" s="56" t="inlineStr">
        <is>
          <t>Synthetic datasets</t>
        </is>
      </c>
      <c r="C14" s="58" t="inlineStr">
        <is>
          <t>Modules 7.6, 9.1, 9.2</t>
        </is>
      </c>
      <c r="D14" s="58" t="inlineStr">
        <is>
          <t>Configurable</t>
        </is>
      </c>
      <c r="E14" s="57" t="inlineStr">
        <is>
          <t>sklearn.datasets.make_classification(), make_regression(), make_blobs()</t>
        </is>
      </c>
      <c r="F14" s="57" t="inlineStr">
        <is>
          <t>Controlled data for demonstrating overfitting, cluster shape and algorithm behaviour</t>
        </is>
      </c>
    </row>
    <row r="16" ht="15" customHeight="1" s="48">
      <c r="A16" s="75" t="inlineStr">
        <is>
          <t>SECTION B - POST-TRAINING LEARNING RESOURCES</t>
        </is>
      </c>
    </row>
    <row r="17" ht="21.75" customHeight="1" s="48">
      <c r="A17" s="51" t="inlineStr">
        <is>
          <t>S.No</t>
        </is>
      </c>
      <c r="B17" s="51" t="inlineStr">
        <is>
          <t>Resource</t>
        </is>
      </c>
      <c r="C17" s="51" t="inlineStr">
        <is>
          <t>Type</t>
        </is>
      </c>
      <c r="D17" s="51" t="inlineStr">
        <is>
          <t>Level</t>
        </is>
      </c>
      <c r="E17" s="51" t="inlineStr">
        <is>
          <t>Where to Find It</t>
        </is>
      </c>
      <c r="F17" s="51" t="inlineStr">
        <is>
          <t>Recommended For</t>
        </is>
      </c>
    </row>
    <row r="18" ht="15" customHeight="1" s="48">
      <c r="A18" s="58" t="n">
        <v>1</v>
      </c>
      <c r="B18" s="56" t="inlineStr">
        <is>
          <t>Official Python Tutorial</t>
        </is>
      </c>
      <c r="C18" s="58" t="inlineStr">
        <is>
          <t>Documentation</t>
        </is>
      </c>
      <c r="D18" s="58" t="inlineStr">
        <is>
          <t>Beginner</t>
        </is>
      </c>
      <c r="E18" s="57" t="inlineStr">
        <is>
          <t>docs.python.org/3/tutorial</t>
        </is>
      </c>
      <c r="F18" s="57" t="inlineStr">
        <is>
          <t>Reinforcing Module 1 and 2 fundamentals</t>
        </is>
      </c>
    </row>
    <row r="19" ht="15" customHeight="1" s="48">
      <c r="A19" s="62" t="n">
        <v>2</v>
      </c>
      <c r="B19" s="60" t="inlineStr">
        <is>
          <t>NumPy User Guide</t>
        </is>
      </c>
      <c r="C19" s="62" t="inlineStr">
        <is>
          <t>Documentation</t>
        </is>
      </c>
      <c r="D19" s="62" t="inlineStr">
        <is>
          <t>Beginner</t>
        </is>
      </c>
      <c r="E19" s="61" t="inlineStr">
        <is>
          <t>numpy.org/doc/stable/user</t>
        </is>
      </c>
      <c r="F19" s="61" t="inlineStr">
        <is>
          <t>Deepening Module 3 array and broadcasting skills</t>
        </is>
      </c>
    </row>
    <row r="20" ht="15" customHeight="1" s="48">
      <c r="A20" s="58" t="n">
        <v>3</v>
      </c>
      <c r="B20" s="56" t="inlineStr">
        <is>
          <t>Pandas User Guide &amp; Cookbook</t>
        </is>
      </c>
      <c r="C20" s="58" t="inlineStr">
        <is>
          <t>Documentation</t>
        </is>
      </c>
      <c r="D20" s="58" t="inlineStr">
        <is>
          <t>Intermediate</t>
        </is>
      </c>
      <c r="E20" s="57" t="inlineStr">
        <is>
          <t>pandas.pydata.org/docs/user_guide</t>
        </is>
      </c>
      <c r="F20" s="57" t="inlineStr">
        <is>
          <t>The single most valuable reference after this program</t>
        </is>
      </c>
    </row>
    <row r="21" ht="21.75" customHeight="1" s="48">
      <c r="A21" s="62" t="n">
        <v>4</v>
      </c>
      <c r="B21" s="60" t="inlineStr">
        <is>
          <t>scikit-learn User Guide</t>
        </is>
      </c>
      <c r="C21" s="62" t="inlineStr">
        <is>
          <t>Documentation</t>
        </is>
      </c>
      <c r="D21" s="62" t="inlineStr">
        <is>
          <t>Intermediate</t>
        </is>
      </c>
      <c r="E21" s="61" t="inlineStr">
        <is>
          <t>scikit-learn.org/stable/user_guide.html</t>
        </is>
      </c>
      <c r="F21" s="61" t="inlineStr">
        <is>
          <t>Algorithm theory, parameters and worked examples for Modules 7-9</t>
        </is>
      </c>
    </row>
    <row r="22" ht="21.75" customHeight="1" s="48">
      <c r="A22" s="58" t="n">
        <v>5</v>
      </c>
      <c r="B22" s="56" t="inlineStr">
        <is>
          <t>Python for Data Analysis (Wes McKinney)</t>
        </is>
      </c>
      <c r="C22" s="58" t="inlineStr">
        <is>
          <t>Book</t>
        </is>
      </c>
      <c r="D22" s="58" t="inlineStr">
        <is>
          <t>Beginner-Intermediate</t>
        </is>
      </c>
      <c r="E22" s="57" t="inlineStr">
        <is>
          <t>O'Reilly</t>
        </is>
      </c>
      <c r="F22" s="57" t="inlineStr">
        <is>
          <t>The definitive Pandas book, written by its creator</t>
        </is>
      </c>
    </row>
    <row r="23" ht="21.75" customHeight="1" s="48">
      <c r="A23" s="62" t="n">
        <v>6</v>
      </c>
      <c r="B23" s="60" t="inlineStr">
        <is>
          <t>Hands-On Machine Learning (Aurelien Geron)</t>
        </is>
      </c>
      <c r="C23" s="62" t="inlineStr">
        <is>
          <t>Book</t>
        </is>
      </c>
      <c r="D23" s="62" t="inlineStr">
        <is>
          <t>Intermediate</t>
        </is>
      </c>
      <c r="E23" s="61" t="inlineStr">
        <is>
          <t>O'Reilly</t>
        </is>
      </c>
      <c r="F23" s="61" t="inlineStr">
        <is>
          <t>The best practical follow-up to Modules 7-10</t>
        </is>
      </c>
    </row>
    <row r="24" ht="21.75" customHeight="1" s="48">
      <c r="A24" s="58" t="n">
        <v>7</v>
      </c>
      <c r="B24" s="56" t="inlineStr">
        <is>
          <t>An Introduction to Statistical Learning (ISLP)</t>
        </is>
      </c>
      <c r="C24" s="58" t="inlineStr">
        <is>
          <t>Book (free PDF)</t>
        </is>
      </c>
      <c r="D24" s="58" t="inlineStr">
        <is>
          <t>Intermediate-Advanced</t>
        </is>
      </c>
      <c r="E24" s="57" t="inlineStr">
        <is>
          <t>statlearning.com</t>
        </is>
      </c>
      <c r="F24" s="57" t="inlineStr">
        <is>
          <t>The statistical theory behind every algorithm taught here</t>
        </is>
      </c>
    </row>
    <row r="25" ht="21.75" customHeight="1" s="48">
      <c r="A25" s="62" t="n">
        <v>8</v>
      </c>
      <c r="B25" s="60" t="inlineStr">
        <is>
          <t>Kaggle Learn micro-courses</t>
        </is>
      </c>
      <c r="C25" s="62" t="inlineStr">
        <is>
          <t>Interactive course</t>
        </is>
      </c>
      <c r="D25" s="62" t="inlineStr">
        <is>
          <t>Beginner-Intermediate</t>
        </is>
      </c>
      <c r="E25" s="61" t="inlineStr">
        <is>
          <t>kaggle.com/learn</t>
        </is>
      </c>
      <c r="F25" s="61" t="inlineStr">
        <is>
          <t>Short, hands-on modules on Pandas, feature engineering and ML</t>
        </is>
      </c>
    </row>
    <row r="26" ht="21.75" customHeight="1" s="48">
      <c r="A26" s="58" t="n">
        <v>9</v>
      </c>
      <c r="B26" s="56" t="inlineStr">
        <is>
          <t>Kaggle Competitions (Getting Started)</t>
        </is>
      </c>
      <c r="C26" s="58" t="inlineStr">
        <is>
          <t>Practice</t>
        </is>
      </c>
      <c r="D26" s="58" t="inlineStr">
        <is>
          <t>Intermediate</t>
        </is>
      </c>
      <c r="E26" s="57" t="inlineStr">
        <is>
          <t>kaggle.com/competitions</t>
        </is>
      </c>
      <c r="F26" s="57" t="inlineStr">
        <is>
          <t>Applying the capstone workflow to new problems with a leaderboard</t>
        </is>
      </c>
    </row>
    <row r="27" ht="21.75" customHeight="1" s="48">
      <c r="A27" s="62" t="n">
        <v>10</v>
      </c>
      <c r="B27" s="60" t="inlineStr">
        <is>
          <t>StatQuest with Josh Starmer</t>
        </is>
      </c>
      <c r="C27" s="62" t="inlineStr">
        <is>
          <t>Video channel</t>
        </is>
      </c>
      <c r="D27" s="62" t="inlineStr">
        <is>
          <t>Beginner</t>
        </is>
      </c>
      <c r="E27" s="61" t="inlineStr">
        <is>
          <t>YouTube</t>
        </is>
      </c>
      <c r="F27" s="61" t="inlineStr">
        <is>
          <t>Clear visual intuition for every ML and statistics concept in Module 7</t>
        </is>
      </c>
    </row>
    <row r="28" ht="15" customHeight="1" s="48">
      <c r="A28" s="58" t="n">
        <v>11</v>
      </c>
      <c r="B28" s="56" t="inlineStr">
        <is>
          <t>MLOps Zoomcamp / Made With ML</t>
        </is>
      </c>
      <c r="C28" s="58" t="inlineStr">
        <is>
          <t>Course</t>
        </is>
      </c>
      <c r="D28" s="58" t="inlineStr">
        <is>
          <t>Advanced</t>
        </is>
      </c>
      <c r="E28" s="57" t="inlineStr">
        <is>
          <t>github.com/DataTalksClub, madewithml.com</t>
        </is>
      </c>
      <c r="F28" s="57" t="inlineStr">
        <is>
          <t>The natural next step after Module 9 deployment topics</t>
        </is>
      </c>
    </row>
    <row r="29" ht="21.75" customHeight="1" s="48">
      <c r="A29" s="62" t="n">
        <v>12</v>
      </c>
      <c r="B29" s="60" t="inlineStr">
        <is>
          <t>Papers with Code</t>
        </is>
      </c>
      <c r="C29" s="62" t="inlineStr">
        <is>
          <t>Reference</t>
        </is>
      </c>
      <c r="D29" s="62" t="inlineStr">
        <is>
          <t>Advanced</t>
        </is>
      </c>
      <c r="E29" s="61" t="inlineStr">
        <is>
          <t>paperswithcode.com</t>
        </is>
      </c>
      <c r="F29" s="61" t="inlineStr">
        <is>
          <t>Tracking state-of-the-art methods once the fundamentals are solid</t>
        </is>
      </c>
    </row>
    <row r="31" ht="15" customHeight="1" s="48">
      <c r="A31" s="76" t="inlineStr">
        <is>
          <t>Note: All Kaggle and UCI datasets are downloaded once and shipped in the offline course pack so that labs are not dependent on internet access or account creation during the session.</t>
        </is>
      </c>
    </row>
  </sheetData>
  <mergeCells count="5">
    <mergeCell ref="A2:F2"/>
    <mergeCell ref="A16:F16"/>
    <mergeCell ref="A1:F1"/>
    <mergeCell ref="A31:F31"/>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5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47" min="1" max="1"/>
    <col width="30" customWidth="1" style="47" min="2" max="2"/>
    <col width="60" customWidth="1" style="47" min="3" max="3"/>
    <col width="34" customWidth="1" style="47" min="4" max="4"/>
    <col width="18" customWidth="1" style="47" min="5" max="5"/>
    <col width="26" customWidth="1" style="47" min="6" max="6"/>
  </cols>
  <sheetData>
    <row r="1" ht="27.75" customHeight="1" s="48">
      <c r="A1" s="49" t="inlineStr">
        <is>
          <t>CAPSTONE PROJECT - CUSTOMER CHURN PREDICTION (ENTERPRISE SIMULATION)</t>
        </is>
      </c>
    </row>
    <row r="2" ht="19.5" customHeight="1" s="48">
      <c r="A2" s="50" t="inlineStr">
        <is>
          <t>Module 10 | 270 Minutes | Alternates: Employee Attrition, House Price, Loan Approval</t>
        </is>
      </c>
    </row>
    <row r="4" ht="15" customHeight="1" s="48">
      <c r="A4" s="75" t="inlineStr">
        <is>
          <t>SECTION A - PROJECT BRIEF</t>
        </is>
      </c>
    </row>
    <row r="5" ht="15" customHeight="1" s="48">
      <c r="A5" s="77" t="inlineStr">
        <is>
          <t>Project Title</t>
        </is>
      </c>
      <c r="B5" s="78" t="n"/>
      <c r="C5" s="79" t="inlineStr">
        <is>
          <t>Customer Churn Prediction &amp; Retention Intelligence</t>
        </is>
      </c>
      <c r="D5" s="78" t="n"/>
      <c r="E5" s="78" t="n"/>
      <c r="F5" s="78" t="n"/>
    </row>
    <row r="6" ht="21.75" customHeight="1" s="48">
      <c r="A6" s="77" t="inlineStr">
        <is>
          <t>Business Context</t>
        </is>
      </c>
      <c r="B6" s="78" t="n"/>
      <c r="C6" s="79" t="inlineStr">
        <is>
          <t>A subscription telecom provider is losing approximately 26% of its customer base annually. Retention campaigns are currently sprayed across the entire base at high cost and low conversion.</t>
        </is>
      </c>
      <c r="D6" s="78" t="n"/>
      <c r="E6" s="78" t="n"/>
      <c r="F6" s="78" t="n"/>
    </row>
    <row r="7" ht="21.75" customHeight="1" s="48">
      <c r="A7" s="77" t="inlineStr">
        <is>
          <t>Business Problem</t>
        </is>
      </c>
      <c r="B7" s="78" t="n"/>
      <c r="C7" s="79" t="inlineStr">
        <is>
          <t>Identify, in advance, which customers are likely to churn in the next billing cycle, and explain why, so that retention spend can be targeted at the customers who are both at risk and worth saving.</t>
        </is>
      </c>
      <c r="D7" s="78" t="n"/>
      <c r="E7" s="78" t="n"/>
      <c r="F7" s="78" t="n"/>
    </row>
    <row r="8" ht="15" customHeight="1" s="48">
      <c r="A8" s="77" t="inlineStr">
        <is>
          <t>ML Problem Statement</t>
        </is>
      </c>
      <c r="B8" s="78" t="n"/>
      <c r="C8" s="79" t="inlineStr">
        <is>
          <t>Binary classification: predict P(churn = Yes) for each active customer at the end of a monthly observation window.</t>
        </is>
      </c>
      <c r="D8" s="78" t="n"/>
      <c r="E8" s="78" t="n"/>
      <c r="F8" s="78" t="n"/>
    </row>
    <row r="9" ht="15" customHeight="1" s="48">
      <c r="A9" s="77" t="inlineStr">
        <is>
          <t>Target Variable</t>
        </is>
      </c>
      <c r="B9" s="78" t="n"/>
      <c r="C9" s="79" t="inlineStr">
        <is>
          <t>Churn (Yes / No) - approximately 26% positive class</t>
        </is>
      </c>
      <c r="D9" s="78" t="n"/>
      <c r="E9" s="78" t="n"/>
      <c r="F9" s="78" t="n"/>
    </row>
    <row r="10" ht="15" customHeight="1" s="48">
      <c r="A10" s="77" t="inlineStr">
        <is>
          <t>Prediction Window</t>
        </is>
      </c>
      <c r="B10" s="78" t="n"/>
      <c r="C10" s="79" t="inlineStr">
        <is>
          <t>Next 1 billing cycle (30 days)</t>
        </is>
      </c>
      <c r="D10" s="78" t="n"/>
      <c r="E10" s="78" t="n"/>
      <c r="F10" s="78" t="n"/>
    </row>
    <row r="11" ht="15" customHeight="1" s="48">
      <c r="A11" s="77" t="inlineStr">
        <is>
          <t>Primary Metric</t>
        </is>
      </c>
      <c r="B11" s="78" t="n"/>
      <c r="C11" s="79" t="inlineStr">
        <is>
          <t>Recall on the churn class at a fixed precision floor, with ROC-AUC as the ranking metric</t>
        </is>
      </c>
      <c r="D11" s="78" t="n"/>
      <c r="E11" s="78" t="n"/>
      <c r="F11" s="78" t="n"/>
    </row>
    <row r="12" ht="15" customHeight="1" s="48">
      <c r="A12" s="77" t="inlineStr">
        <is>
          <t>Why Not Accuracy</t>
        </is>
      </c>
      <c r="B12" s="78" t="n"/>
      <c r="C12" s="79" t="inlineStr">
        <is>
          <t>A model predicting 'no churn' for everyone scores 74% accuracy and delivers zero business value - accuracy is explicitly rejected as the decision metric</t>
        </is>
      </c>
      <c r="D12" s="78" t="n"/>
      <c r="E12" s="78" t="n"/>
      <c r="F12" s="78" t="n"/>
    </row>
    <row r="13" ht="15" customHeight="1" s="48">
      <c r="A13" s="77" t="inlineStr">
        <is>
          <t>Baseline to Beat</t>
        </is>
      </c>
      <c r="B13" s="78" t="n"/>
      <c r="C13" s="79" t="inlineStr">
        <is>
          <t>Current rule-based targeting: contract type = month-to-month AND tenure &lt; 12 months</t>
        </is>
      </c>
      <c r="D13" s="78" t="n"/>
      <c r="E13" s="78" t="n"/>
      <c r="F13" s="78" t="n"/>
    </row>
    <row r="14" ht="15" customHeight="1" s="48">
      <c r="A14" s="77" t="inlineStr">
        <is>
          <t>Business Success Criteria</t>
        </is>
      </c>
      <c r="B14" s="78" t="n"/>
      <c r="C14" s="79" t="inlineStr">
        <is>
          <t>Capture at least 70% of actual churners within the top 3 deciles of predicted risk, with a documented estimated revenue saving</t>
        </is>
      </c>
      <c r="D14" s="78" t="n"/>
      <c r="E14" s="78" t="n"/>
      <c r="F14" s="78" t="n"/>
    </row>
    <row r="15" ht="15" customHeight="1" s="48">
      <c r="A15" s="77" t="inlineStr">
        <is>
          <t>Dataset</t>
        </is>
      </c>
      <c r="B15" s="78" t="n"/>
      <c r="C15" s="79" t="inlineStr">
        <is>
          <t>Telco Customer Churn - 7,043 customers x 21 attributes (demographics, account, services, billing)</t>
        </is>
      </c>
      <c r="D15" s="78" t="n"/>
      <c r="E15" s="78" t="n"/>
      <c r="F15" s="78" t="n"/>
    </row>
    <row r="16" ht="15" customHeight="1" s="48">
      <c r="A16" s="77" t="inlineStr">
        <is>
          <t>Constraints</t>
        </is>
      </c>
      <c r="B16" s="78" t="n"/>
      <c r="C16" s="79" t="inlineStr">
        <is>
          <t>Model must be explainable at the individual-customer level; scoring must run as a monthly batch; no protected demographic attribute may drive the decision</t>
        </is>
      </c>
      <c r="D16" s="78" t="n"/>
      <c r="E16" s="78" t="n"/>
      <c r="F16" s="78" t="n"/>
    </row>
    <row r="17" ht="15" customHeight="1" s="48">
      <c r="A17" s="77" t="inlineStr">
        <is>
          <t>Alternate Projects</t>
        </is>
      </c>
      <c r="B17" s="78" t="n"/>
      <c r="C17" s="79" t="inlineStr">
        <is>
          <t>Employee Attrition Prediction (HR) | House Price Prediction (regression variant) | Loan Approval Prediction (credit risk)</t>
        </is>
      </c>
      <c r="D17" s="78" t="n"/>
      <c r="E17" s="78" t="n"/>
      <c r="F17" s="78" t="n"/>
    </row>
    <row r="19" ht="15" customHeight="1" s="48">
      <c r="A19" s="75" t="inlineStr">
        <is>
          <t>SECTION B - EXECUTION PHASES</t>
        </is>
      </c>
    </row>
    <row r="20" ht="21.75" customHeight="1" s="48">
      <c r="A20" s="51" t="inlineStr">
        <is>
          <t>Phase</t>
        </is>
      </c>
      <c r="B20" s="51" t="inlineStr">
        <is>
          <t>Phase Name</t>
        </is>
      </c>
      <c r="C20" s="51" t="inlineStr">
        <is>
          <t>Activities</t>
        </is>
      </c>
      <c r="D20" s="51" t="inlineStr">
        <is>
          <t>Techniques / Libraries</t>
        </is>
      </c>
      <c r="E20" s="51" t="inlineStr">
        <is>
          <t>Duration (Min)</t>
        </is>
      </c>
      <c r="F20" s="51" t="inlineStr">
        <is>
          <t>Deliverable</t>
        </is>
      </c>
    </row>
    <row r="21" ht="32.25" customHeight="1" s="48">
      <c r="A21" s="55" t="inlineStr">
        <is>
          <t>P1</t>
        </is>
      </c>
      <c r="B21" s="56" t="inlineStr">
        <is>
          <t>Business Problem Framing</t>
        </is>
      </c>
      <c r="C21" s="57" t="inlineStr">
        <is>
          <t>Restate the objective; define the target and observation window; agree the success metric and baseline; document scope, assumptions and constraints; set up repository and environment</t>
        </is>
      </c>
      <c r="D21" s="57" t="inlineStr">
        <is>
          <t>Project charter template, Git, conda</t>
        </is>
      </c>
      <c r="E21" s="58" t="n">
        <v>25</v>
      </c>
      <c r="F21" s="57" t="inlineStr">
        <is>
          <t>Project charter + initialised repo</t>
        </is>
      </c>
    </row>
    <row r="22" ht="21.75" customHeight="1" s="48">
      <c r="A22" s="59" t="inlineStr">
        <is>
          <t>P2</t>
        </is>
      </c>
      <c r="B22" s="60" t="inlineStr">
        <is>
          <t>Data Collection &amp; Ingestion</t>
        </is>
      </c>
      <c r="C22" s="61" t="inlineStr">
        <is>
          <t>Identify sources; review schema and data dictionary; ingest raw files; validate row counts and dtypes; reconcile against source; freeze an immutable raw layer</t>
        </is>
      </c>
      <c r="D22" s="61" t="inlineStr">
        <is>
          <t>Pandas read_csv / read_excel / read_sql</t>
        </is>
      </c>
      <c r="E22" s="62" t="n">
        <v>25</v>
      </c>
      <c r="F22" s="61" t="inlineStr">
        <is>
          <t>Raw data layer + data dictionary</t>
        </is>
      </c>
    </row>
    <row r="23" ht="21.75" customHeight="1" s="48">
      <c r="A23" s="55" t="inlineStr">
        <is>
          <t>P3</t>
        </is>
      </c>
      <c r="B23" s="56" t="inlineStr">
        <is>
          <t>Data Cleaning &amp; Quality</t>
        </is>
      </c>
      <c r="C23" s="57" t="inlineStr">
        <is>
          <t>Profile quality; treat missing TotalCharges; remove duplicates; treat outliers; standardise categories and types; log every transformation</t>
        </is>
      </c>
      <c r="D23" s="57" t="inlineStr">
        <is>
          <t>Pandas, NumPy, SimpleImputer, IQR method</t>
        </is>
      </c>
      <c r="E23" s="58" t="n">
        <v>30</v>
      </c>
      <c r="F23" s="57" t="inlineStr">
        <is>
          <t>Cleaned dataset + transformation log</t>
        </is>
      </c>
    </row>
    <row r="24" ht="32.25" customHeight="1" s="48">
      <c r="A24" s="59" t="inlineStr">
        <is>
          <t>P4</t>
        </is>
      </c>
      <c r="B24" s="60" t="inlineStr">
        <is>
          <t>Exploratory Data Analysis</t>
        </is>
      </c>
      <c r="C24" s="61" t="inlineStr">
        <is>
          <t>Univariate, bivariate and multivariate analysis against churn; churn rate by contract, tenure band, payment method and services; correlation analysis; quantify every observation</t>
        </is>
      </c>
      <c r="D24" s="61" t="inlineStr">
        <is>
          <t>Matplotlib, Seaborn, Pandas groupby, crosstab</t>
        </is>
      </c>
      <c r="E24" s="62" t="n">
        <v>35</v>
      </c>
      <c r="F24" s="61" t="inlineStr">
        <is>
          <t>EDA notebook + 10 quantified insights</t>
        </is>
      </c>
    </row>
    <row r="25" ht="32.25" customHeight="1" s="48">
      <c r="A25" s="55" t="inlineStr">
        <is>
          <t>P5</t>
        </is>
      </c>
      <c r="B25" s="56" t="inlineStr">
        <is>
          <t>Feature Engineering &amp; Selection</t>
        </is>
      </c>
      <c r="C25" s="57" t="inlineStr">
        <is>
          <t>Tenure bands; average charge per month; service-count feature; contract and payment encoding; interaction features; scaling; RFE and correlation filtering; leakage review</t>
        </is>
      </c>
      <c r="D25" s="57" t="inlineStr">
        <is>
          <t>Pandas, OneHotEncoder, StandardScaler, RFE</t>
        </is>
      </c>
      <c r="E25" s="58" t="n">
        <v>30</v>
      </c>
      <c r="F25" s="57" t="inlineStr">
        <is>
          <t>Feature specification + modelling dataset</t>
        </is>
      </c>
    </row>
    <row r="26" ht="32.25" customHeight="1" s="48">
      <c r="A26" s="59" t="inlineStr">
        <is>
          <t>P6</t>
        </is>
      </c>
      <c r="B26" s="60" t="inlineStr">
        <is>
          <t>Model Building</t>
        </is>
      </c>
      <c r="C26" s="61" t="inlineStr">
        <is>
          <t>Train the baseline; train Logistic Regression, Decision Tree, Random Forest and XGBoost inside pipelines; handle class imbalance with class weights and SMOTE; log every experiment</t>
        </is>
      </c>
      <c r="D26" s="61" t="inlineStr">
        <is>
          <t>scikit-learn Pipeline, XGBoost, imbalanced-learn</t>
        </is>
      </c>
      <c r="E26" s="62" t="n">
        <v>40</v>
      </c>
      <c r="F26" s="61" t="inlineStr">
        <is>
          <t>Candidate models + experiment log</t>
        </is>
      </c>
    </row>
    <row r="27" ht="32.25" customHeight="1" s="48">
      <c r="A27" s="55" t="inlineStr">
        <is>
          <t>P7</t>
        </is>
      </c>
      <c r="B27" s="56" t="inlineStr">
        <is>
          <t>Evaluation, Tuning &amp; Selection</t>
        </is>
      </c>
      <c r="C27" s="57" t="inlineStr">
        <is>
          <t>Cross-validated comparison; GridSearchCV / RandomizedSearchCV on the shortlist; confusion matrix, ROC-AUC and PR curves; threshold optimisation against a cost matrix; final selection with justification</t>
        </is>
      </c>
      <c r="D27" s="57" t="inlineStr">
        <is>
          <t>GridSearchCV, StratifiedKFold, sklearn.metrics</t>
        </is>
      </c>
      <c r="E27" s="58" t="n">
        <v>35</v>
      </c>
      <c r="F27" s="57" t="inlineStr">
        <is>
          <t>Final tuned model + evaluation report</t>
        </is>
      </c>
    </row>
    <row r="28" ht="32.25" customHeight="1" s="48">
      <c r="A28" s="59" t="inlineStr">
        <is>
          <t>P8</t>
        </is>
      </c>
      <c r="B28" s="60" t="inlineStr">
        <is>
          <t>Prediction &amp; Business Insights</t>
        </is>
      </c>
      <c r="C28" s="61" t="inlineStr">
        <is>
          <t>Score the holdout set; build risk deciles; identify the top churn drivers with feature importance and SHAP; size the addressable at-risk revenue; write recommendations and a monitoring plan</t>
        </is>
      </c>
      <c r="D28" s="61" t="inlineStr">
        <is>
          <t>SHAP, Pandas, Matplotlib</t>
        </is>
      </c>
      <c r="E28" s="62" t="n">
        <v>30</v>
      </c>
      <c r="F28" s="61" t="inlineStr">
        <is>
          <t>Scored output + business impact analysis</t>
        </is>
      </c>
    </row>
    <row r="29" ht="32.25" customHeight="1" s="48">
      <c r="A29" s="55" t="inlineStr">
        <is>
          <t>P9</t>
        </is>
      </c>
      <c r="B29" s="56" t="inlineStr">
        <is>
          <t>Presentation &amp; Walkthrough</t>
        </is>
      </c>
      <c r="C29" s="57" t="inlineStr">
        <is>
          <t>Present the executive narrative and the technical walkthrough; defend three design decisions; capture limitations and next steps; draft an individual 90-day learning roadmap</t>
        </is>
      </c>
      <c r="D29" s="57" t="inlineStr">
        <is>
          <t>Jupyter, PowerPoint</t>
        </is>
      </c>
      <c r="E29" s="58" t="n">
        <v>20</v>
      </c>
      <c r="F29" s="57" t="inlineStr">
        <is>
          <t>Capstone deck + final repository</t>
        </is>
      </c>
    </row>
    <row r="30" ht="15" customHeight="1" s="48">
      <c r="A30" s="63" t="n"/>
      <c r="B30" s="63" t="n"/>
      <c r="C30" s="63" t="n"/>
      <c r="D30" s="63" t="inlineStr">
        <is>
          <t>TOTAL CAPSTONE DURATION</t>
        </is>
      </c>
      <c r="E30" s="63">
        <f>SUM(E21:E29)</f>
        <v/>
      </c>
      <c r="F30" s="63">
        <f>ROUND(E30/60,1)&amp;" hours"</f>
        <v/>
      </c>
    </row>
    <row r="32" ht="15" customHeight="1" s="48">
      <c r="A32" s="75" t="inlineStr">
        <is>
          <t>SECTION C - EVALUATION RUBRIC</t>
        </is>
      </c>
    </row>
    <row r="33" ht="21.75" customHeight="1" s="48">
      <c r="A33" s="51" t="inlineStr">
        <is>
          <t>S.No</t>
        </is>
      </c>
      <c r="B33" s="51" t="inlineStr">
        <is>
          <t>Criterion</t>
        </is>
      </c>
      <c r="C33" s="51" t="inlineStr">
        <is>
          <t>What Is Assessed</t>
        </is>
      </c>
      <c r="D33" s="51" t="inlineStr">
        <is>
          <t>Weight (%)</t>
        </is>
      </c>
    </row>
    <row r="34" ht="21.75" customHeight="1" s="48">
      <c r="A34" s="58" t="n">
        <v>1</v>
      </c>
      <c r="B34" s="56" t="inlineStr">
        <is>
          <t>Problem Framing &amp; Approach</t>
        </is>
      </c>
      <c r="C34" s="57" t="inlineStr">
        <is>
          <t>Clarity of the problem statement, target definition, metric choice and baseline; quality of assumptions</t>
        </is>
      </c>
      <c r="D34" s="58" t="n">
        <v>10</v>
      </c>
    </row>
    <row r="35" ht="21.75" customHeight="1" s="48">
      <c r="A35" s="62" t="n">
        <v>2</v>
      </c>
      <c r="B35" s="60" t="inlineStr">
        <is>
          <t>Data Cleaning &amp; Quality</t>
        </is>
      </c>
      <c r="C35" s="61" t="inlineStr">
        <is>
          <t>Correctness and justification of missing-value, outlier and consistency treatment; completeness of the transformation log</t>
        </is>
      </c>
      <c r="D35" s="62" t="n">
        <v>15</v>
      </c>
    </row>
    <row r="36" ht="21.75" customHeight="1" s="48">
      <c r="A36" s="58" t="n">
        <v>3</v>
      </c>
      <c r="B36" s="56" t="inlineStr">
        <is>
          <t>EDA &amp; Insight Quality</t>
        </is>
      </c>
      <c r="C36" s="57" t="inlineStr">
        <is>
          <t>Depth of exploration, chart appropriateness, and whether insights are quantified and business-relevant</t>
        </is>
      </c>
      <c r="D36" s="58" t="n">
        <v>15</v>
      </c>
    </row>
    <row r="37" ht="21.75" customHeight="1" s="48">
      <c r="A37" s="62" t="n">
        <v>4</v>
      </c>
      <c r="B37" s="60" t="inlineStr">
        <is>
          <t>Feature Engineering</t>
        </is>
      </c>
      <c r="C37" s="61" t="inlineStr">
        <is>
          <t>Creativity and domain relevance of engineered features; soundness of selection; leakage review</t>
        </is>
      </c>
      <c r="D37" s="62" t="n">
        <v>15</v>
      </c>
    </row>
    <row r="38" ht="21.75" customHeight="1" s="48">
      <c r="A38" s="58" t="n">
        <v>5</v>
      </c>
      <c r="B38" s="56" t="inlineStr">
        <is>
          <t>Modelling &amp; Evaluation</t>
        </is>
      </c>
      <c r="C38" s="57" t="inlineStr">
        <is>
          <t>Breadth of candidates, validation rigour, metric appropriateness, tuning and threshold logic</t>
        </is>
      </c>
      <c r="D38" s="58" t="n">
        <v>20</v>
      </c>
    </row>
    <row r="39" ht="21.75" customHeight="1" s="48">
      <c r="A39" s="62" t="n">
        <v>6</v>
      </c>
      <c r="B39" s="60" t="inlineStr">
        <is>
          <t>Code Quality &amp; Reproducibility</t>
        </is>
      </c>
      <c r="C39" s="61" t="inlineStr">
        <is>
          <t>Structure, readability, PEP 8 adherence, pipeline usage, seeds, and whether the notebook runs end to end</t>
        </is>
      </c>
      <c r="D39" s="62" t="n">
        <v>10</v>
      </c>
    </row>
    <row r="40" ht="21.75" customHeight="1" s="48">
      <c r="A40" s="58" t="n">
        <v>7</v>
      </c>
      <c r="B40" s="56" t="inlineStr">
        <is>
          <t>Business Communication</t>
        </is>
      </c>
      <c r="C40" s="57" t="inlineStr">
        <is>
          <t>Quality of the recommendation, impact quantification, and clarity of the presentation to a non-technical audience</t>
        </is>
      </c>
      <c r="D40" s="58" t="n">
        <v>15</v>
      </c>
    </row>
    <row r="41" ht="15" customHeight="1" s="48">
      <c r="A41" s="63" t="n"/>
      <c r="B41" s="63" t="n"/>
      <c r="C41" s="63" t="inlineStr">
        <is>
          <t>TOTAL</t>
        </is>
      </c>
      <c r="D41" s="63">
        <f>SUM(D34:D40)</f>
        <v/>
      </c>
    </row>
    <row r="43" ht="15" customHeight="1" s="48">
      <c r="A43" s="75" t="inlineStr">
        <is>
          <t>SECTION D - FINAL SUBMISSION CHECKLIST</t>
        </is>
      </c>
    </row>
    <row r="44" ht="15" customHeight="1" s="48">
      <c r="A44" s="80" t="inlineStr">
        <is>
          <t>1.</t>
        </is>
      </c>
      <c r="B44" s="81" t="inlineStr">
        <is>
          <t>Cleaned dataset and a documented transformation log</t>
        </is>
      </c>
      <c r="C44" s="78" t="n"/>
      <c r="D44" s="78" t="n"/>
      <c r="E44" s="78" t="n"/>
      <c r="F44" s="78" t="n"/>
    </row>
    <row r="45" ht="15" customHeight="1" s="48">
      <c r="A45" s="82" t="inlineStr">
        <is>
          <t>2.</t>
        </is>
      </c>
      <c r="B45" s="83" t="inlineStr">
        <is>
          <t>EDA notebook containing at least 10 quantified business insights with supporting visuals</t>
        </is>
      </c>
      <c r="C45" s="78" t="n"/>
      <c r="D45" s="78" t="n"/>
      <c r="E45" s="78" t="n"/>
      <c r="F45" s="78" t="n"/>
    </row>
    <row r="46" ht="15" customHeight="1" s="48">
      <c r="A46" s="80" t="inlineStr">
        <is>
          <t>3.</t>
        </is>
      </c>
      <c r="B46" s="81" t="inlineStr">
        <is>
          <t>Feature specification document listing every engineered feature and its rationale</t>
        </is>
      </c>
      <c r="C46" s="78" t="n"/>
      <c r="D46" s="78" t="n"/>
      <c r="E46" s="78" t="n"/>
      <c r="F46" s="78" t="n"/>
    </row>
    <row r="47" ht="15" customHeight="1" s="48">
      <c r="A47" s="82" t="inlineStr">
        <is>
          <t>4.</t>
        </is>
      </c>
      <c r="B47" s="83" t="inlineStr">
        <is>
          <t>Experiment log covering every model trained, with parameters and cross-validated scores</t>
        </is>
      </c>
      <c r="C47" s="78" t="n"/>
      <c r="D47" s="78" t="n"/>
      <c r="E47" s="78" t="n"/>
      <c r="F47" s="78" t="n"/>
    </row>
    <row r="48" ht="15" customHeight="1" s="48">
      <c r="A48" s="80" t="inlineStr">
        <is>
          <t>5.</t>
        </is>
      </c>
      <c r="B48" s="81" t="inlineStr">
        <is>
          <t>Final serialised pipeline artefact (preprocessing + model in one object)</t>
        </is>
      </c>
      <c r="C48" s="78" t="n"/>
      <c r="D48" s="78" t="n"/>
      <c r="E48" s="78" t="n"/>
      <c r="F48" s="78" t="n"/>
    </row>
    <row r="49" ht="15" customHeight="1" s="48">
      <c r="A49" s="82" t="inlineStr">
        <is>
          <t>6.</t>
        </is>
      </c>
      <c r="B49" s="83" t="inlineStr">
        <is>
          <t>Evaluation report: confusion matrix, ROC and PR curves, threshold justification and cost analysis</t>
        </is>
      </c>
      <c r="C49" s="78" t="n"/>
      <c r="D49" s="78" t="n"/>
      <c r="E49" s="78" t="n"/>
      <c r="F49" s="78" t="n"/>
    </row>
    <row r="50" ht="15" customHeight="1" s="48">
      <c r="A50" s="80" t="inlineStr">
        <is>
          <t>7.</t>
        </is>
      </c>
      <c r="B50" s="81" t="inlineStr">
        <is>
          <t>SHAP-based driver analysis and one fully explained individual prediction</t>
        </is>
      </c>
      <c r="C50" s="78" t="n"/>
      <c r="D50" s="78" t="n"/>
      <c r="E50" s="78" t="n"/>
      <c r="F50" s="78" t="n"/>
    </row>
    <row r="51" ht="15" customHeight="1" s="48">
      <c r="A51" s="82" t="inlineStr">
        <is>
          <t>8.</t>
        </is>
      </c>
      <c r="B51" s="83" t="inlineStr">
        <is>
          <t>Business impact estimate with the assumptions behind it stated explicitly</t>
        </is>
      </c>
      <c r="C51" s="78" t="n"/>
      <c r="D51" s="78" t="n"/>
      <c r="E51" s="78" t="n"/>
      <c r="F51" s="78" t="n"/>
    </row>
    <row r="52" ht="15" customHeight="1" s="48">
      <c r="A52" s="80" t="inlineStr">
        <is>
          <t>9.</t>
        </is>
      </c>
      <c r="B52" s="81" t="inlineStr">
        <is>
          <t>Model card covering intended use, limitations, fairness review and monitoring plan</t>
        </is>
      </c>
      <c r="C52" s="78" t="n"/>
      <c r="D52" s="78" t="n"/>
      <c r="E52" s="78" t="n"/>
      <c r="F52" s="78" t="n"/>
    </row>
    <row r="53" ht="15" customHeight="1" s="48">
      <c r="A53" s="82" t="inlineStr">
        <is>
          <t>10.</t>
        </is>
      </c>
      <c r="B53" s="83" t="inlineStr">
        <is>
          <t>Presentation deck (10-12 slides) with both an executive and a technical section</t>
        </is>
      </c>
      <c r="C53" s="78" t="n"/>
      <c r="D53" s="78" t="n"/>
      <c r="E53" s="78" t="n"/>
      <c r="F53" s="78" t="n"/>
    </row>
    <row r="54" ht="15" customHeight="1" s="48">
      <c r="A54" s="80" t="inlineStr">
        <is>
          <t>11.</t>
        </is>
      </c>
      <c r="B54" s="81" t="inlineStr">
        <is>
          <t>Git repository with a README, requirements.txt and a notebook that runs top to bottom without errors</t>
        </is>
      </c>
      <c r="C54" s="78" t="n"/>
      <c r="D54" s="78" t="n"/>
      <c r="E54" s="78" t="n"/>
      <c r="F54" s="78" t="n"/>
    </row>
  </sheetData>
  <mergeCells count="43">
    <mergeCell ref="C17:F17"/>
    <mergeCell ref="A15:B15"/>
    <mergeCell ref="B47:F47"/>
    <mergeCell ref="C8:F8"/>
    <mergeCell ref="B54:F54"/>
    <mergeCell ref="A11:B11"/>
    <mergeCell ref="C7:F7"/>
    <mergeCell ref="B46:F46"/>
    <mergeCell ref="A6:B6"/>
    <mergeCell ref="B52:F52"/>
    <mergeCell ref="C13:F13"/>
    <mergeCell ref="A2:F2"/>
    <mergeCell ref="A16:B16"/>
    <mergeCell ref="A7:B7"/>
    <mergeCell ref="B48:F48"/>
    <mergeCell ref="A32:F32"/>
    <mergeCell ref="C6:F6"/>
    <mergeCell ref="C15:F15"/>
    <mergeCell ref="A4:F4"/>
    <mergeCell ref="C5:F5"/>
    <mergeCell ref="C14:F14"/>
    <mergeCell ref="A12:B12"/>
    <mergeCell ref="A43:F43"/>
    <mergeCell ref="B44:F44"/>
    <mergeCell ref="B53:F53"/>
    <mergeCell ref="A19:F19"/>
    <mergeCell ref="A5:B5"/>
    <mergeCell ref="C16:F16"/>
    <mergeCell ref="A14:B14"/>
    <mergeCell ref="A17:B17"/>
    <mergeCell ref="C10:F10"/>
    <mergeCell ref="A8:B8"/>
    <mergeCell ref="B49:F49"/>
    <mergeCell ref="C9:F9"/>
    <mergeCell ref="A1:F1"/>
    <mergeCell ref="C12:F12"/>
    <mergeCell ref="A10:B10"/>
    <mergeCell ref="B51:F51"/>
    <mergeCell ref="A13:B13"/>
    <mergeCell ref="B45:F45"/>
    <mergeCell ref="C11:F11"/>
    <mergeCell ref="A9:B9"/>
    <mergeCell ref="B50:F5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 customWidth="1" style="47" min="1" max="1"/>
    <col width="30" customWidth="1" style="47" min="2" max="2"/>
    <col width="15" customWidth="1" style="47" min="3" max="3"/>
    <col width="14" customWidth="1" style="47" min="4" max="4"/>
    <col width="11" customWidth="1" style="47" min="5" max="5"/>
    <col width="34" customWidth="1" style="47" min="6" max="6"/>
    <col width="62" customWidth="1" style="47" min="7" max="7"/>
    <col width="54" customWidth="1" style="47" min="8" max="9"/>
    <col width="26" customWidth="1" style="47" min="10" max="10"/>
  </cols>
  <sheetData>
    <row r="1" ht="27.75" customHeight="1" s="48">
      <c r="A1" s="49" t="inlineStr">
        <is>
          <t>HOME ASSIGNMENTS — PYTHON FOR DATA SCIENCE &amp; MACHINE LEARNING (40 HRS)</t>
        </is>
      </c>
    </row>
    <row r="2" ht="19.5" customHeight="1" s="48">
      <c r="A2" s="84" t="inlineStr">
        <is>
          <t>Four graded home assignments  |  17-21 hours total  |  Completed on personal machines and personal GitHub accounts between training days</t>
        </is>
      </c>
    </row>
    <row r="4" ht="25.5" customHeight="1" s="48">
      <c r="A4" s="85" t="inlineStr">
        <is>
          <t>Assignment</t>
        </is>
      </c>
      <c r="B4" s="85" t="inlineStr">
        <is>
          <t>Title</t>
        </is>
      </c>
      <c r="C4" s="85" t="inlineStr">
        <is>
          <t>Assigned After</t>
        </is>
      </c>
      <c r="D4" s="85" t="inlineStr">
        <is>
          <t>Due Before</t>
        </is>
      </c>
      <c r="E4" s="85" t="inlineStr">
        <is>
          <t>Effort (Hrs)</t>
        </is>
      </c>
      <c r="F4" s="85" t="inlineStr">
        <is>
          <t>Focus</t>
        </is>
      </c>
      <c r="G4" s="85" t="inlineStr">
        <is>
          <t>Task</t>
        </is>
      </c>
      <c r="H4" s="85" t="inlineStr">
        <is>
          <t>Requirements</t>
        </is>
      </c>
      <c r="I4" s="85" t="inlineStr">
        <is>
          <t>Expected Outcomes</t>
        </is>
      </c>
      <c r="J4" s="85" t="inlineStr">
        <is>
          <t>Submission Format</t>
        </is>
      </c>
    </row>
    <row r="5" ht="74.59999999999999" customHeight="1" s="48">
      <c r="A5" s="86" t="inlineStr">
        <is>
          <t>HA-1</t>
        </is>
      </c>
      <c r="B5" s="87" t="inlineStr">
        <is>
          <t>Reusable Python Utility Package</t>
        </is>
      </c>
      <c r="C5" s="88" t="inlineStr">
        <is>
          <t>End of Day 2</t>
        </is>
      </c>
      <c r="D5" s="88" t="inlineStr">
        <is>
          <t>Start of Day 4</t>
        </is>
      </c>
      <c r="E5" s="88" t="inlineStr">
        <is>
          <t>3-4</t>
        </is>
      </c>
      <c r="F5" s="89" t="inlineStr">
        <is>
          <t>Consolidating core and advanced Python — functions, collections, comprehensions, OOP, exceptions, file handling and packaging — into something reusable rather than throwaway notebook code.</t>
        </is>
      </c>
      <c r="G5" s="89" t="inlineStr">
        <is>
          <t>Build a small installable Python package of data-cleaning and validation utilities: functions to trim and standardise text, coerce and validate numeric and date fields, detect and report malformed rows, and read and write CSV and JSON safely. Structure it as a proper package with modules, not a single script. Include a Dataset class that wraps a file and exposes shape and summary properties.</t>
        </is>
      </c>
      <c r="H5" s="89" t="inlineStr">
        <is>
          <t>Personal GitHub repository created on your own account. Package must include __init__.py, a requirements.txt and a README. Every public function must carry a docstring and type hints. Use comprehensions and generator expressions where they genuinely improve the code. Custom exception classes and structured logging for the failure paths. A minimum of three pytest cases covering a happy path, an edge case and a failure. Code must be PEP 8 compliant.</t>
        </is>
      </c>
      <c r="I5" s="89" t="inlineStr">
        <is>
          <t>An installable package that can be imported from a clean notebook. A passing pytest suite. Demonstrated understanding of when a comprehension helps and when it hurts readability. A reusable asset you will actually use in the later assignments and the capstone.</t>
        </is>
      </c>
      <c r="J5" s="89" t="inlineStr">
        <is>
          <t>GitHub repository link + passing test output</t>
        </is>
      </c>
    </row>
    <row r="6" ht="74.59999999999999" customHeight="1" s="48">
      <c r="A6" s="90" t="inlineStr">
        <is>
          <t>HA-2</t>
        </is>
      </c>
      <c r="B6" s="91" t="inlineStr">
        <is>
          <t>NumPy &amp; Pandas Multi-Source Analysis</t>
        </is>
      </c>
      <c r="C6" s="92" t="inlineStr">
        <is>
          <t>End of Day 4</t>
        </is>
      </c>
      <c r="D6" s="92" t="inlineStr">
        <is>
          <t>Start of Day 5</t>
        </is>
      </c>
      <c r="E6" s="92" t="inlineStr">
        <is>
          <t>4-5</t>
        </is>
      </c>
      <c r="F6" s="93" t="inlineStr">
        <is>
          <t>Vectorised numerical computing and real multi-source data analysis — the daily working skill of the whole programme.</t>
        </is>
      </c>
      <c r="G6" s="93" t="inlineStr">
        <is>
          <t>Take a public dataset of your choice with at least two related tables (or split one into related tables) and produce a complete analysis notebook. Ingest from CSV and Excel, clean and type the columns, join the tables into a single analysis table, aggregate with GroupBy, reshape with a pivot, and add a time-based aggregation with resample and a rolling window. Use NumPy for at least one vectorised computation and benchmark it against the equivalent loop.</t>
        </is>
      </c>
      <c r="H6" s="93" t="inlineStr">
        <is>
          <t>Notebook must run top to bottom without error on a fresh kernel. Every join must be validated with a row-count reconciliation before and after, and any row explosion explained. No row-wise apply where a vectorised operation exists — justify any exception. The NumPy benchmark must report measured timings, not estimates. Minimum eight quantified business insights, each stated as a number with the code that produced it.</t>
        </is>
      </c>
      <c r="I6" s="93" t="inlineStr">
        <is>
          <t>An analysis notebook that another participant can run unchanged. A written insight summary with eight quantified findings. Demonstrated fluency in selection, GroupBy, merge, pivot and time-series operations. Evidence that you can reason about the performance cost of a Pandas operation.</t>
        </is>
      </c>
      <c r="J6" s="93" t="inlineStr">
        <is>
          <t>Jupyter notebook + insight summary</t>
        </is>
      </c>
    </row>
    <row r="7" ht="85.05" customHeight="1" s="48">
      <c r="A7" s="86" t="inlineStr">
        <is>
          <t>HA-3</t>
        </is>
      </c>
      <c r="B7" s="87" t="inlineStr">
        <is>
          <t>EDA, Data Quality &amp; Feature Engineering Report</t>
        </is>
      </c>
      <c r="C7" s="88" t="inlineStr">
        <is>
          <t>End of Day 6</t>
        </is>
      </c>
      <c r="D7" s="88" t="inlineStr">
        <is>
          <t>Start of Day 8</t>
        </is>
      </c>
      <c r="E7" s="88" t="inlineStr">
        <is>
          <t>5-6</t>
        </is>
      </c>
      <c r="F7" s="89" t="inlineStr">
        <is>
          <t>Turning a raw dataset into a clean, leakage-free modelling dataset, and communicating what the data is telling you.</t>
        </is>
      </c>
      <c r="G7" s="89" t="inlineStr">
        <is>
          <t>Using the capstone dataset (Telco churn, or an approved alternative), run a complete exploratory analysis and prepare the modelling dataset. Profile the data and produce a quality scorecard. Treat missing values, duplicates and outliers. Encode categoricals and scale numerics appropriately for the algorithms you intend to use. Engineer new features from the domain. Then produce the EDA report with visualisations and quantified insights.</t>
        </is>
      </c>
      <c r="H7" s="89" t="inlineStr">
        <is>
          <t>Every cleaning and encoding decision must be justified in writing — a comparison of at least two strategies is required for missing values. A before-and-after data quality scorecard. At least eight engineered features, each with a written definition and rationale. A leakage review confirming no feature encodes future information and that all transformers were fitted on training data only. Minimum ten quantified insights, each with an annotated supporting chart. Charts must have titles, axis labels and readable scales.</t>
        </is>
      </c>
      <c r="I7" s="89" t="inlineStr">
        <is>
          <t>A cleaned, documented modelling dataset with a transformation log. An EDA report notebook containing ten quantified business insights with supporting visuals. A feature specification document. A completed leakage review. This becomes the direct input to your capstone.</t>
        </is>
      </c>
      <c r="J7" s="89" t="inlineStr">
        <is>
          <t>EDA notebook + feature specification + transformation log</t>
        </is>
      </c>
    </row>
    <row r="8" ht="85.05" customHeight="1" s="48">
      <c r="A8" s="90" t="inlineStr">
        <is>
          <t>HA-4</t>
        </is>
      </c>
      <c r="B8" s="91" t="inlineStr">
        <is>
          <t>Model Build, Tuning, Explainability &amp; Scoring Service</t>
        </is>
      </c>
      <c r="C8" s="92" t="inlineStr">
        <is>
          <t>End of Day 9</t>
        </is>
      </c>
      <c r="D8" s="92" t="inlineStr">
        <is>
          <t>Start of Day 10</t>
        </is>
      </c>
      <c r="E8" s="92" t="inlineStr">
        <is>
          <t>5-6</t>
        </is>
      </c>
      <c r="F8" s="93" t="inlineStr">
        <is>
          <t>The full modelling workflow — baseline, candidates, tuning, threshold selection, explainability and deployment — assembled into one leakage-free artefact.</t>
        </is>
      </c>
      <c r="G8" s="93" t="inlineStr">
        <is>
          <t>Using the dataset from HA-3, establish a baseline model, then train at least four candidate algorithms across families inside scikit-learn Pipelines. Tune the top two with GridSearchCV or RandomizedSearchCV. Choose the decision metric on business grounds and tune the classification threshold against a cost matrix. Produce a SHAP driver analysis, explain one individual prediction end to end, then serialise the complete pipeline and expose a local /predict endpoint.</t>
        </is>
      </c>
      <c r="H8" s="93" t="inlineStr">
        <is>
          <t>Every model must be trained inside a Pipeline with ColumnTransformer — no preprocessing fitted outside the pipeline. An experiment log recording every model, its parameters and its cross-validated scores. Metric choice must be justified in business terms, and accuracy explicitly rejected as the decision metric with a reason. Threshold selection must reference a stated cost of false positives versus false negatives. The saved artefact must contain preprocessing and model together. The endpoint must accept a raw record and return a scored response.</t>
        </is>
      </c>
      <c r="I8" s="93" t="inlineStr">
        <is>
          <t>A model leaderboard comparing all candidates on a common protocol, with a written selection recommendation. A tuned, serialised pipeline artefact. A running local /predict endpoint with sample requests and responses. A SHAP-based driver analysis and one fully explained individual prediction. A short model card covering intended use, limitations and monitoring. Capstone-ready on Day 10.</t>
        </is>
      </c>
      <c r="J8" s="93" t="inlineStr">
        <is>
          <t>Model leaderboard + pipeline artefact + running endpoint + model card</t>
        </is>
      </c>
    </row>
    <row r="9" ht="15" customHeight="1" s="48">
      <c r="A9" s="94" t="n"/>
      <c r="B9" s="94" t="n"/>
      <c r="C9" s="94" t="n"/>
      <c r="D9" s="94" t="inlineStr">
        <is>
          <t>TOTAL EFFORT</t>
        </is>
      </c>
      <c r="E9" s="94" t="inlineStr">
        <is>
          <t>17-21 hrs</t>
        </is>
      </c>
      <c r="F9" s="94" t="n"/>
      <c r="G9" s="94" t="n"/>
      <c r="H9" s="94" t="n"/>
      <c r="I9" s="94" t="n"/>
      <c r="J9" s="94" t="n"/>
    </row>
    <row r="11" ht="15" customHeight="1" s="48">
      <c r="A11" s="74" t="inlineStr">
        <is>
          <t>PERSONAL ACCOUNTS AND TOOLING: All home assignments are completed on the participant's own personal GitHub account and personally installed tooling. No company software, licences, accounts or repositories are provided or required.</t>
        </is>
      </c>
    </row>
    <row r="12" ht="15" customHeight="1" s="48">
      <c r="A12" s="74" t="inlineStr">
        <is>
          <t>NO EMPLOYER CODE OR DATA: Assignments must use public datasets, personally created sample data, or the sample domain supplied in class. Do not commit employer source code, customer data or any confidential material to a personal repository.</t>
        </is>
      </c>
    </row>
    <row r="13" ht="15" customHeight="1" s="48">
      <c r="A13" s="74" t="inlineStr">
        <is>
          <t>EFFORT GUIDANCE: Each assignment is sized at 3-6 hours of independent work, designed to fit between two consecutive training days. Assignments build on one another — the output of one becomes the input of the next, and all four feed directly into the Day 10 capstone.</t>
        </is>
      </c>
    </row>
    <row r="14" ht="15" customHeight="1" s="48">
      <c r="A14" s="74" t="inlineStr">
        <is>
          <t>SUBMISSION: Share the repository link by the stated due date. Assignments are reviewed at the start of the following session, with two selected for group walkthrough.</t>
        </is>
      </c>
    </row>
    <row r="15" ht="15" customHeight="1" s="48">
      <c r="A15" s="74" t="inlineStr">
        <is>
          <t>ASSESSMENT: Home assignments carry weight in the final certification. A participant who has not completed HA-1 to HA-4 will not have the codebase or the plan required to complete the capstone within the scheduled time.</t>
        </is>
      </c>
    </row>
  </sheetData>
  <autoFilter ref="A4:J8"/>
  <mergeCells count="7">
    <mergeCell ref="A1:J1"/>
    <mergeCell ref="A14:J14"/>
    <mergeCell ref="A15:J15"/>
    <mergeCell ref="A12:J12"/>
    <mergeCell ref="A2:J2"/>
    <mergeCell ref="A13:J13"/>
    <mergeCell ref="A11:J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2026-08-04T17:18:38Z</dcterms:created>
  <dcterms:modified xmlns:dcterms="http://purl.org/dc/terms/" xmlns:xsi="http://www.w3.org/2001/XMLSchema-instance" xsi:type="dcterms:W3CDTF">2026-08-09T17:43:19Z</dcterms:modified>
  <cp:revision>0</cp:revision>
</cp:coreProperties>
</file>